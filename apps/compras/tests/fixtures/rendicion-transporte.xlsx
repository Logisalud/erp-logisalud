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7A617857-C7A8-4961-9A45-D57DBD3C8D7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AJA 2 -943,93" sheetId="4" r:id="rId1"/>
    <sheet name="DETALLE - 943,93" sheetId="5" r:id="rId2"/>
    <sheet name="plantilla" sheetId="1" state="hidden" r:id="rId3"/>
    <sheet name="plantilla," sheetId="6" state="hidden" r:id="rId4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5" l="1"/>
  <c r="J19" i="4" s="1"/>
  <c r="H8" i="6"/>
  <c r="J19" i="1" s="1"/>
  <c r="J25" i="1" l="1"/>
  <c r="J30" i="1" s="1"/>
  <c r="J31" i="1" s="1"/>
  <c r="J25" i="4"/>
  <c r="J31" i="4" s="1"/>
  <c r="J32" i="4" s="1"/>
</calcChain>
</file>

<file path=xl/sharedStrings.xml><?xml version="1.0" encoding="utf-8"?>
<sst xmlns="http://schemas.openxmlformats.org/spreadsheetml/2006/main" count="215" uniqueCount="94">
  <si>
    <t>INFORME DE RENDICIÓN DE GASTOS</t>
  </si>
  <si>
    <t>2026-0014-VNT</t>
  </si>
  <si>
    <t>NOMBRES Y APELLIDOS</t>
  </si>
  <si>
    <t>FECHA:</t>
  </si>
  <si>
    <t>ASUNTO:</t>
  </si>
  <si>
    <t>CENTRO DE COSTO:</t>
  </si>
  <si>
    <t xml:space="preserve">ACTIVIDADES REALIZADAS: </t>
  </si>
  <si>
    <t>A continuación, presento un desglose de los gastos, con su respectivo costo unitario y cantidad</t>
  </si>
  <si>
    <t>DETALLE DE GASTOS</t>
  </si>
  <si>
    <t>N°</t>
  </si>
  <si>
    <t>FECHA</t>
  </si>
  <si>
    <t>DETALLE</t>
  </si>
  <si>
    <t>PROVEEDOR</t>
  </si>
  <si>
    <t>RUC</t>
  </si>
  <si>
    <t>COMPROBANTE</t>
  </si>
  <si>
    <t xml:space="preserve"> MONTO </t>
  </si>
  <si>
    <t>Tipo</t>
  </si>
  <si>
    <t>Número</t>
  </si>
  <si>
    <t>DETALLE TOTAL RENDICIÓN</t>
  </si>
  <si>
    <t>RESUMEN</t>
  </si>
  <si>
    <t>MONTO RECIBIDO</t>
  </si>
  <si>
    <t>MONTO RENDIDO</t>
  </si>
  <si>
    <t>RENDIDO POR:</t>
  </si>
  <si>
    <t>CONFORMIDAD CONTABILIDAD</t>
  </si>
  <si>
    <t>SALDO</t>
  </si>
  <si>
    <t>….................................</t>
  </si>
  <si>
    <t>….....................................</t>
  </si>
  <si>
    <t>Cuenta / efectivo</t>
  </si>
  <si>
    <t>Gastos sin sustento :</t>
  </si>
  <si>
    <t>Varios</t>
  </si>
  <si>
    <t>UNIDAD</t>
  </si>
  <si>
    <t>CATEGORIA</t>
  </si>
  <si>
    <t>ORIGEN</t>
  </si>
  <si>
    <t>NRO DOC</t>
  </si>
  <si>
    <t>MONTO</t>
  </si>
  <si>
    <t>BKW757</t>
  </si>
  <si>
    <t>PEAJE</t>
  </si>
  <si>
    <t>BWO902</t>
  </si>
  <si>
    <t>LIMA EXPRESA S.A.C.</t>
  </si>
  <si>
    <t>MONTERRICO SALIDA</t>
  </si>
  <si>
    <t>GAS</t>
  </si>
  <si>
    <t>DIESEL</t>
  </si>
  <si>
    <t>NEGOCIACION KIO S.A.C.</t>
  </si>
  <si>
    <t>PAN. SUR KM 25.6 - PACHACAMAC</t>
  </si>
  <si>
    <t>MONTERRICO ENTRADA</t>
  </si>
  <si>
    <t>GASOLINA</t>
  </si>
  <si>
    <t>ESTACION DE SERVICIO ZEUS - V.SALVADOR</t>
  </si>
  <si>
    <t>PEAJE - PUENTE DEL EJERCITO</t>
  </si>
  <si>
    <t>ZEUS &amp; ASOCIADOS S.A.C.</t>
  </si>
  <si>
    <t>CAJA</t>
  </si>
  <si>
    <t>Gastos detallados por placas, con Documento ( combustible, peaje etc)</t>
  </si>
  <si>
    <t>ROBERTO MUÑOZ</t>
  </si>
  <si>
    <t>Con Documentos/ A reponer por Milagritos</t>
  </si>
  <si>
    <t>GASTOS ALMACEN Y OPERACIONES</t>
  </si>
  <si>
    <t>OPERACIONES</t>
  </si>
  <si>
    <t>Gastos varios de choferes en planta</t>
  </si>
  <si>
    <t>MICHELLE MAURIELLO</t>
  </si>
  <si>
    <t>DNI: 004780086</t>
  </si>
  <si>
    <t>DNI: 72521824</t>
  </si>
  <si>
    <t>F252-04580049</t>
  </si>
  <si>
    <t>F902-00768275</t>
  </si>
  <si>
    <t>FK02-00411685</t>
  </si>
  <si>
    <t>F155-05106498</t>
  </si>
  <si>
    <t>FK04-00245604</t>
  </si>
  <si>
    <t>FG04-00008564</t>
  </si>
  <si>
    <t>Planilla de movilidad :</t>
  </si>
  <si>
    <t>SEPARADORA INDUSTRIAL - ENTRADA</t>
  </si>
  <si>
    <t>GASTADO HASTA EL MOMENTO</t>
  </si>
  <si>
    <t>27,67 Emilio Dejo en Caja</t>
  </si>
  <si>
    <t>SALDO CAJA ANTERIOR</t>
  </si>
  <si>
    <t>F153-03890262</t>
  </si>
  <si>
    <t>F352-02596787</t>
  </si>
  <si>
    <t>COCHERA</t>
  </si>
  <si>
    <t>TOY STAR S.A.</t>
  </si>
  <si>
    <t>F003-0048943</t>
  </si>
  <si>
    <t>COCHERA CENTRO DE LIMA</t>
  </si>
  <si>
    <t>GLOBAL FUEL S.A.</t>
  </si>
  <si>
    <t>F622-00023418</t>
  </si>
  <si>
    <t>GRIFO AVA - SAN ISIDRO</t>
  </si>
  <si>
    <t>AERO GAS DEL NORTE S.A.C.</t>
  </si>
  <si>
    <t>F225-00025523</t>
  </si>
  <si>
    <t>AEROGAS - CARABAYLLO</t>
  </si>
  <si>
    <t>B351-09314029</t>
  </si>
  <si>
    <t>F002-0170564</t>
  </si>
  <si>
    <t>F155-05132953</t>
  </si>
  <si>
    <t>F251-02743572</t>
  </si>
  <si>
    <t>CORPORACION VILLALUKYER S.A.C.</t>
  </si>
  <si>
    <t>F001-00004176</t>
  </si>
  <si>
    <t>OIL STAR - COMAS</t>
  </si>
  <si>
    <t>F620-00037159</t>
  </si>
  <si>
    <t>FG02-00008707</t>
  </si>
  <si>
    <t>FK17-00197926</t>
  </si>
  <si>
    <t xml:space="preserve">Gastos sin sustento : </t>
  </si>
  <si>
    <t>LLANTA AIRE (BWO902) - HANS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</si>
</sst>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S/.]#,##0.00"/>
    <numFmt numFmtId="165" formatCode="_ * #,##0.00_ ;_ * \-#,##0.00_ ;_ * &quot;-&quot;??_ ;_ @_ "/>
    <numFmt numFmtId="166" formatCode="_-[$S/-280A]\ * #,##0.00_-;\-[$S/-280A]\ * #,##0.00_-;_-[$S/-280A]\ * &quot;-&quot;??_-;_-@_-"/>
  </numFmts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2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2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CD4DE"/>
        <bgColor rgb="FFCCD4DE"/>
      </patternFill>
    </fill>
    <fill>
      <patternFill patternType="solid">
        <fgColor rgb="FFDBE5F1"/>
        <bgColor rgb="FFDBE5F1"/>
      </patternFill>
    </fill>
    <fill>
      <patternFill patternType="solid">
        <fgColor rgb="FFFFFF00"/>
        <bgColor rgb="FFCCD4DE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D0D0D0"/>
        <bgColor rgb="FF000000"/>
      </patternFill>
    </fill>
    <fill>
      <patternFill patternType="solid">
        <fgColor theme="0"/>
        <bgColor rgb="FFCCD4D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FFF00"/>
        <bgColor theme="6" tint="0.79998168889431442"/>
      </patternFill>
    </fill>
    <fill>
      <patternFill patternType="solid">
        <fgColor theme="4"/>
        <bgColor indexed="64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6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6" tint="0.39997558519241921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10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6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5" fillId="3" borderId="14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14" fontId="6" fillId="0" borderId="15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right" vertical="center"/>
    </xf>
    <xf numFmtId="49" fontId="1" fillId="0" borderId="15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49" fontId="6" fillId="0" borderId="15" xfId="0" applyNumberFormat="1" applyFont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vertical="center"/>
    </xf>
    <xf numFmtId="0" fontId="6" fillId="6" borderId="21" xfId="0" applyFont="1" applyFill="1" applyBorder="1" applyAlignment="1">
      <alignment vertical="center"/>
    </xf>
    <xf numFmtId="0" fontId="6" fillId="6" borderId="19" xfId="0" applyFont="1" applyFill="1" applyBorder="1" applyAlignment="1">
      <alignment horizontal="right" vertical="center"/>
    </xf>
    <xf numFmtId="0" fontId="9" fillId="0" borderId="15" xfId="0" applyFont="1" applyBorder="1" applyAlignment="1">
      <alignment horizontal="left" vertical="center"/>
    </xf>
    <xf numFmtId="0" fontId="8" fillId="0" borderId="15" xfId="0" applyFont="1" applyBorder="1" applyAlignment="1">
      <alignment horizontal="center" vertical="center" wrapText="1"/>
    </xf>
    <xf numFmtId="0" fontId="10" fillId="8" borderId="25" xfId="0" applyFont="1" applyFill="1" applyBorder="1" applyAlignment="1">
      <alignment horizontal="center" vertical="center"/>
    </xf>
    <xf numFmtId="0" fontId="10" fillId="8" borderId="26" xfId="0" applyFont="1" applyFill="1" applyBorder="1" applyAlignment="1">
      <alignment horizontal="center" vertical="center"/>
    </xf>
    <xf numFmtId="0" fontId="11" fillId="0" borderId="4" xfId="0" applyFont="1" applyBorder="1"/>
    <xf numFmtId="0" fontId="10" fillId="8" borderId="25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165" fontId="9" fillId="0" borderId="19" xfId="0" applyNumberFormat="1" applyFont="1" applyBorder="1" applyAlignment="1">
      <alignment horizontal="center" vertical="center"/>
    </xf>
    <xf numFmtId="0" fontId="8" fillId="2" borderId="5" xfId="0" applyFont="1" applyFill="1" applyBorder="1" applyAlignment="1">
      <alignment vertical="center"/>
    </xf>
    <xf numFmtId="0" fontId="8" fillId="2" borderId="6" xfId="0" applyFont="1" applyFill="1" applyBorder="1" applyAlignment="1">
      <alignment vertical="center"/>
    </xf>
    <xf numFmtId="0" fontId="6" fillId="10" borderId="21" xfId="0" applyFont="1" applyFill="1" applyBorder="1" applyAlignment="1">
      <alignment vertical="center"/>
    </xf>
    <xf numFmtId="0" fontId="6" fillId="10" borderId="19" xfId="0" applyFont="1" applyFill="1" applyBorder="1" applyAlignment="1">
      <alignment horizontal="right" vertical="center"/>
    </xf>
    <xf numFmtId="43" fontId="1" fillId="2" borderId="22" xfId="1" applyFont="1" applyFill="1" applyBorder="1" applyAlignment="1">
      <alignment horizontal="center" vertical="center"/>
    </xf>
    <xf numFmtId="43" fontId="1" fillId="2" borderId="24" xfId="1" applyFont="1" applyFill="1" applyBorder="1" applyAlignment="1">
      <alignment horizontal="center" vertical="center"/>
    </xf>
    <xf numFmtId="0" fontId="12" fillId="0" borderId="15" xfId="0" applyFont="1" applyBorder="1" applyAlignment="1">
      <alignment horizontal="left" vertical="center"/>
    </xf>
    <xf numFmtId="14" fontId="6" fillId="11" borderId="15" xfId="0" applyNumberFormat="1" applyFont="1" applyFill="1" applyBorder="1" applyAlignment="1">
      <alignment horizontal="center" vertical="center"/>
    </xf>
    <xf numFmtId="0" fontId="9" fillId="11" borderId="15" xfId="0" applyFont="1" applyFill="1" applyBorder="1" applyAlignment="1">
      <alignment horizontal="left" vertical="center"/>
    </xf>
    <xf numFmtId="0" fontId="1" fillId="11" borderId="15" xfId="0" applyFont="1" applyFill="1" applyBorder="1" applyAlignment="1">
      <alignment horizontal="center" vertical="center" wrapText="1"/>
    </xf>
    <xf numFmtId="0" fontId="1" fillId="11" borderId="15" xfId="0" applyFont="1" applyFill="1" applyBorder="1" applyAlignment="1">
      <alignment horizontal="right" vertical="center"/>
    </xf>
    <xf numFmtId="49" fontId="1" fillId="11" borderId="15" xfId="0" applyNumberFormat="1" applyFont="1" applyFill="1" applyBorder="1" applyAlignment="1">
      <alignment horizontal="center" vertical="center" wrapText="1"/>
    </xf>
    <xf numFmtId="0" fontId="1" fillId="11" borderId="15" xfId="0" applyFont="1" applyFill="1" applyBorder="1" applyAlignment="1">
      <alignment horizontal="center" vertical="center"/>
    </xf>
    <xf numFmtId="164" fontId="1" fillId="11" borderId="15" xfId="0" applyNumberFormat="1" applyFont="1" applyFill="1" applyBorder="1" applyAlignment="1">
      <alignment horizontal="center" vertical="center"/>
    </xf>
    <xf numFmtId="0" fontId="12" fillId="11" borderId="15" xfId="0" applyFont="1" applyFill="1" applyBorder="1" applyAlignment="1">
      <alignment horizontal="left" vertical="center"/>
    </xf>
    <xf numFmtId="0" fontId="8" fillId="11" borderId="15" xfId="0" applyFont="1" applyFill="1" applyBorder="1" applyAlignment="1">
      <alignment horizontal="center" vertical="center" wrapText="1"/>
    </xf>
    <xf numFmtId="43" fontId="1" fillId="7" borderId="23" xfId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vertical="center"/>
    </xf>
    <xf numFmtId="0" fontId="13" fillId="7" borderId="1" xfId="0" applyFont="1" applyFill="1" applyBorder="1" applyAlignment="1">
      <alignment horizontal="left" vertical="center"/>
    </xf>
    <xf numFmtId="14" fontId="14" fillId="12" borderId="27" xfId="0" applyNumberFormat="1" applyFont="1" applyFill="1" applyBorder="1" applyAlignment="1">
      <alignment horizontal="center"/>
    </xf>
    <xf numFmtId="16" fontId="14" fillId="12" borderId="27" xfId="0" applyNumberFormat="1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14" fontId="14" fillId="0" borderId="28" xfId="0" applyNumberFormat="1" applyFont="1" applyBorder="1" applyAlignment="1">
      <alignment horizontal="center"/>
    </xf>
    <xf numFmtId="16" fontId="14" fillId="0" borderId="28" xfId="0" applyNumberFormat="1" applyFont="1" applyBorder="1" applyAlignment="1">
      <alignment horizontal="center"/>
    </xf>
    <xf numFmtId="16" fontId="14" fillId="0" borderId="27" xfId="0" applyNumberFormat="1" applyFont="1" applyBorder="1" applyAlignment="1">
      <alignment horizontal="center"/>
    </xf>
    <xf numFmtId="0" fontId="14" fillId="0" borderId="28" xfId="0" applyFont="1" applyBorder="1" applyAlignment="1">
      <alignment horizontal="center"/>
    </xf>
    <xf numFmtId="166" fontId="14" fillId="0" borderId="28" xfId="0" applyNumberFormat="1" applyFont="1" applyBorder="1"/>
    <xf numFmtId="14" fontId="14" fillId="12" borderId="28" xfId="0" applyNumberFormat="1" applyFont="1" applyFill="1" applyBorder="1" applyAlignment="1">
      <alignment horizontal="center"/>
    </xf>
    <xf numFmtId="16" fontId="14" fillId="12" borderId="28" xfId="0" applyNumberFormat="1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14" fontId="14" fillId="0" borderId="27" xfId="0" applyNumberFormat="1" applyFont="1" applyBorder="1" applyAlignment="1">
      <alignment horizontal="center"/>
    </xf>
    <xf numFmtId="0" fontId="14" fillId="0" borderId="27" xfId="0" applyFont="1" applyBorder="1" applyAlignment="1">
      <alignment horizontal="center"/>
    </xf>
    <xf numFmtId="16" fontId="14" fillId="0" borderId="29" xfId="0" applyNumberFormat="1" applyFont="1" applyBorder="1" applyAlignment="1">
      <alignment horizontal="center"/>
    </xf>
    <xf numFmtId="16" fontId="14" fillId="12" borderId="29" xfId="0" applyNumberFormat="1" applyFont="1" applyFill="1" applyBorder="1" applyAlignment="1">
      <alignment horizontal="center"/>
    </xf>
    <xf numFmtId="166" fontId="0" fillId="6" borderId="0" xfId="0" applyNumberFormat="1" applyFill="1"/>
    <xf numFmtId="166" fontId="14" fillId="6" borderId="28" xfId="0" applyNumberFormat="1" applyFont="1" applyFill="1" applyBorder="1"/>
    <xf numFmtId="166" fontId="14" fillId="13" borderId="28" xfId="0" applyNumberFormat="1" applyFont="1" applyFill="1" applyBorder="1"/>
    <xf numFmtId="166" fontId="14" fillId="6" borderId="27" xfId="0" applyNumberFormat="1" applyFont="1" applyFill="1" applyBorder="1"/>
    <xf numFmtId="166" fontId="14" fillId="13" borderId="27" xfId="0" applyNumberFormat="1" applyFont="1" applyFill="1" applyBorder="1"/>
    <xf numFmtId="166" fontId="0" fillId="14" borderId="0" xfId="0" applyNumberFormat="1" applyFill="1"/>
    <xf numFmtId="16" fontId="14" fillId="0" borderId="30" xfId="0" applyNumberFormat="1" applyFont="1" applyBorder="1" applyAlignment="1">
      <alignment horizontal="center"/>
    </xf>
    <xf numFmtId="14" fontId="6" fillId="10" borderId="15" xfId="0" applyNumberFormat="1" applyFont="1" applyFill="1" applyBorder="1" applyAlignment="1">
      <alignment horizontal="center" vertical="center"/>
    </xf>
    <xf numFmtId="0" fontId="1" fillId="10" borderId="15" xfId="0" applyFont="1" applyFill="1" applyBorder="1" applyAlignment="1">
      <alignment horizontal="center" vertical="center" wrapText="1"/>
    </xf>
    <xf numFmtId="0" fontId="1" fillId="10" borderId="15" xfId="0" applyFont="1" applyFill="1" applyBorder="1" applyAlignment="1">
      <alignment horizontal="right" vertical="center"/>
    </xf>
    <xf numFmtId="49" fontId="1" fillId="10" borderId="15" xfId="0" applyNumberFormat="1" applyFont="1" applyFill="1" applyBorder="1" applyAlignment="1">
      <alignment horizontal="center" vertical="center" wrapText="1"/>
    </xf>
    <xf numFmtId="0" fontId="1" fillId="10" borderId="15" xfId="0" applyFont="1" applyFill="1" applyBorder="1" applyAlignment="1">
      <alignment horizontal="center" vertical="center"/>
    </xf>
    <xf numFmtId="164" fontId="1" fillId="10" borderId="15" xfId="0" applyNumberFormat="1" applyFont="1" applyFill="1" applyBorder="1" applyAlignment="1">
      <alignment horizontal="center" vertical="center"/>
    </xf>
    <xf numFmtId="0" fontId="12" fillId="10" borderId="15" xfId="0" applyFont="1" applyFill="1" applyBorder="1" applyAlignment="1">
      <alignment horizontal="left" vertical="center"/>
    </xf>
    <xf numFmtId="0" fontId="8" fillId="10" borderId="15" xfId="0" applyFont="1" applyFill="1" applyBorder="1" applyAlignment="1">
      <alignment horizontal="center" vertical="center" wrapText="1"/>
    </xf>
    <xf numFmtId="166" fontId="14" fillId="12" borderId="27" xfId="0" applyNumberFormat="1" applyFont="1" applyFill="1" applyBorder="1"/>
    <xf numFmtId="166" fontId="14" fillId="0" borderId="27" xfId="0" applyNumberFormat="1" applyFont="1" applyBorder="1"/>
    <xf numFmtId="166" fontId="14" fillId="12" borderId="28" xfId="0" applyNumberFormat="1" applyFont="1" applyFill="1" applyBorder="1"/>
    <xf numFmtId="0" fontId="13" fillId="2" borderId="1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2" fillId="10" borderId="21" xfId="0" applyFont="1" applyFill="1" applyBorder="1" applyAlignment="1">
      <alignment vertical="center"/>
    </xf>
    <xf numFmtId="0" fontId="5" fillId="10" borderId="15" xfId="0" applyFont="1" applyFill="1" applyBorder="1" applyAlignment="1">
      <alignment horizontal="left" vertical="center"/>
    </xf>
    <xf numFmtId="0" fontId="6" fillId="10" borderId="15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3" fillId="0" borderId="4" xfId="0" applyFont="1" applyBorder="1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8" fillId="2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5" fillId="3" borderId="10" xfId="0" applyFont="1" applyFill="1" applyBorder="1" applyAlignment="1">
      <alignment horizontal="center" vertical="center" wrapText="1"/>
    </xf>
    <xf numFmtId="0" fontId="3" fillId="0" borderId="13" xfId="0" applyFont="1" applyBorder="1"/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3" fillId="0" borderId="12" xfId="0" applyFont="1" applyBorder="1"/>
    <xf numFmtId="0" fontId="5" fillId="4" borderId="16" xfId="0" applyFont="1" applyFill="1" applyBorder="1" applyAlignment="1">
      <alignment horizontal="center" vertical="center" wrapText="1"/>
    </xf>
    <xf numFmtId="0" fontId="3" fillId="0" borderId="17" xfId="0" applyFont="1" applyBorder="1"/>
    <xf numFmtId="0" fontId="3" fillId="0" borderId="18" xfId="0" applyFont="1" applyBorder="1"/>
    <xf numFmtId="0" fontId="5" fillId="5" borderId="11" xfId="0" applyFont="1" applyFill="1" applyBorder="1" applyAlignment="1">
      <alignment horizontal="center" vertical="center"/>
    </xf>
    <xf numFmtId="0" fontId="3" fillId="6" borderId="20" xfId="0" applyFont="1" applyFill="1" applyBorder="1"/>
    <xf numFmtId="0" fontId="3" fillId="6" borderId="12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/>
    </xf>
    <xf numFmtId="0" fontId="3" fillId="10" borderId="12" xfId="0" applyFont="1" applyFill="1" applyBorder="1"/>
    <xf numFmtId="0" fontId="8" fillId="2" borderId="2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17930</xdr:colOff>
      <xdr:row>0</xdr:row>
      <xdr:rowOff>125506</xdr:rowOff>
    </xdr:from>
    <xdr:to>
      <xdr:col>3</xdr:col>
      <xdr:colOff>978498</xdr:colOff>
      <xdr:row>4</xdr:row>
      <xdr:rowOff>77118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B419748-5C66-4427-AACF-E5C5E5CAA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255" y="125506"/>
          <a:ext cx="1208218" cy="713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17930</xdr:colOff>
      <xdr:row>0</xdr:row>
      <xdr:rowOff>125506</xdr:rowOff>
    </xdr:from>
    <xdr:to>
      <xdr:col>3</xdr:col>
      <xdr:colOff>978498</xdr:colOff>
      <xdr:row>4</xdr:row>
      <xdr:rowOff>77118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4CC3051-CE0D-48BC-9686-EB00EA1DF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659" y="125506"/>
          <a:ext cx="1211580" cy="6687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C6C4A32-455C-47FB-962C-AE98E1AE99B1}">
  <we:reference id="wa200009404" version="1.0.0.5" store="es-ES" storeType="OMEX"/>
  <we:alternateReferences>
    <we:reference id="WA200009404" version="1.0.0.5" store="WA200009404" storeType="OMEX"/>
  </we:alternateReferences>
  <we:properties>
    <we:property name="claude.fileId" value="&quot;633def70-10d0-43d7-af7e-e634cc0c6d7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35B7C-B6FA-4534-9B6D-2678E324F45F}">
  <dimension ref="A1:Z994"/>
  <sheetViews>
    <sheetView zoomScale="85" zoomScaleNormal="85" workbookViewId="0">
      <selection activeCell="D35" sqref="D35:E35"/>
    </sheetView>
  </sheetViews>
  <sheetFormatPr baseColWidth="10" defaultColWidth="14.44140625" defaultRowHeight="15" customHeight="1" x14ac:dyDescent="0.3"/>
  <cols>
    <col min="1" max="1" width="2.5546875" customWidth="1"/>
    <col min="2" max="2" width="2.109375" customWidth="1"/>
    <col min="3" max="3" width="3.6640625" customWidth="1"/>
    <col min="4" max="4" width="20" customWidth="1"/>
    <col min="5" max="5" width="46.109375" customWidth="1"/>
    <col min="6" max="6" width="33.88671875" customWidth="1"/>
    <col min="7" max="7" width="12.44140625" customWidth="1"/>
    <col min="8" max="8" width="8.6640625" customWidth="1"/>
    <col min="9" max="9" width="16.88671875" customWidth="1"/>
    <col min="10" max="10" width="11.44140625" customWidth="1"/>
    <col min="11" max="11" width="3.6640625" customWidth="1"/>
    <col min="12" max="12" width="17.109375" customWidth="1"/>
    <col min="13" max="26" width="10.6640625" customWidth="1"/>
  </cols>
  <sheetData>
    <row r="1" spans="1:26" ht="14.4" x14ac:dyDescent="0.3">
      <c r="A1" s="1"/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1"/>
      <c r="C2" s="1"/>
      <c r="D2" s="1"/>
      <c r="E2" s="1"/>
      <c r="F2" s="1"/>
      <c r="G2" s="1"/>
      <c r="H2" s="1"/>
      <c r="I2" s="1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 x14ac:dyDescent="0.3">
      <c r="A3" s="1"/>
      <c r="B3" s="1"/>
      <c r="C3" s="1"/>
      <c r="D3" s="1"/>
      <c r="E3" s="1"/>
      <c r="F3" s="1"/>
      <c r="G3" s="1"/>
      <c r="H3" s="1"/>
      <c r="I3" s="1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 x14ac:dyDescent="0.3">
      <c r="A4" s="1"/>
      <c r="B4" s="1"/>
      <c r="C4" s="1"/>
      <c r="D4" s="1"/>
      <c r="E4" s="1"/>
      <c r="F4" s="1"/>
      <c r="G4" s="1"/>
      <c r="H4" s="1"/>
      <c r="I4" s="1"/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" x14ac:dyDescent="0.3">
      <c r="A5" s="1"/>
      <c r="B5" s="1"/>
      <c r="C5" s="84" t="s">
        <v>0</v>
      </c>
      <c r="D5" s="85"/>
      <c r="E5" s="85"/>
      <c r="F5" s="85"/>
      <c r="G5" s="85"/>
      <c r="H5" s="85"/>
      <c r="I5" s="85"/>
      <c r="J5" s="8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4" x14ac:dyDescent="0.3">
      <c r="A6" s="1"/>
      <c r="B6" s="1"/>
      <c r="C6" s="84" t="s">
        <v>1</v>
      </c>
      <c r="D6" s="85"/>
      <c r="E6" s="85"/>
      <c r="F6" s="85"/>
      <c r="G6" s="85"/>
      <c r="H6" s="85"/>
      <c r="I6" s="85"/>
      <c r="J6" s="8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"/>
      <c r="D7" s="1"/>
      <c r="E7" s="1"/>
      <c r="F7" s="1"/>
      <c r="G7" s="1"/>
      <c r="H7" s="1"/>
      <c r="I7" s="1"/>
      <c r="J7" s="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4" x14ac:dyDescent="0.3">
      <c r="A8" s="1"/>
      <c r="B8" s="1"/>
      <c r="C8" s="82" t="s">
        <v>2</v>
      </c>
      <c r="D8" s="83"/>
      <c r="E8" s="25" t="s">
        <v>51</v>
      </c>
      <c r="F8" s="1"/>
      <c r="G8" s="1"/>
      <c r="H8" s="1"/>
      <c r="I8" s="1"/>
      <c r="J8" s="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4" x14ac:dyDescent="0.3">
      <c r="A9" s="1"/>
      <c r="B9" s="1"/>
      <c r="C9" s="82" t="s">
        <v>3</v>
      </c>
      <c r="D9" s="83"/>
      <c r="E9" s="3">
        <v>46279</v>
      </c>
      <c r="F9" s="1"/>
      <c r="G9" s="1"/>
      <c r="H9" s="1"/>
      <c r="I9" s="1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82" t="s">
        <v>4</v>
      </c>
      <c r="D10" s="83"/>
      <c r="E10" s="26" t="s">
        <v>53</v>
      </c>
      <c r="F10" s="1"/>
      <c r="G10" s="1"/>
      <c r="H10" s="1"/>
      <c r="I10" s="1"/>
      <c r="J10" s="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" x14ac:dyDescent="0.3">
      <c r="A11" s="1"/>
      <c r="B11" s="1"/>
      <c r="C11" s="82" t="s">
        <v>5</v>
      </c>
      <c r="D11" s="83"/>
      <c r="E11" s="26" t="s">
        <v>54</v>
      </c>
      <c r="F11" s="1"/>
      <c r="G11" s="1"/>
      <c r="H11" s="1"/>
      <c r="I11" s="1"/>
      <c r="J11" s="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4"/>
      <c r="D12" s="1"/>
      <c r="E12" s="1"/>
      <c r="F12" s="1"/>
      <c r="G12" s="1"/>
      <c r="H12" s="1"/>
      <c r="I12" s="1"/>
      <c r="J12" s="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4" t="s">
        <v>6</v>
      </c>
      <c r="D13" s="1"/>
      <c r="E13" s="86" t="s">
        <v>55</v>
      </c>
      <c r="F13" s="87"/>
      <c r="G13" s="87"/>
      <c r="H13" s="87"/>
      <c r="I13" s="88"/>
      <c r="J13" s="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" x14ac:dyDescent="0.3">
      <c r="A14" s="1"/>
      <c r="B14" s="1"/>
      <c r="C14" s="1"/>
      <c r="D14" s="1"/>
      <c r="E14" s="1"/>
      <c r="F14" s="1"/>
      <c r="G14" s="1"/>
      <c r="H14" s="1"/>
      <c r="I14" s="1"/>
      <c r="J14" s="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" t="s">
        <v>7</v>
      </c>
      <c r="D15" s="1"/>
      <c r="E15" s="1"/>
      <c r="F15" s="1"/>
      <c r="G15" s="1"/>
      <c r="H15" s="1"/>
      <c r="I15" s="1"/>
      <c r="J15" s="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thickBot="1" x14ac:dyDescent="0.35">
      <c r="A16" s="1"/>
      <c r="B16" s="1"/>
      <c r="C16" s="1" t="s">
        <v>8</v>
      </c>
      <c r="D16" s="1"/>
      <c r="E16" s="1"/>
      <c r="F16" s="1"/>
      <c r="G16" s="1"/>
      <c r="H16" s="1"/>
      <c r="I16" s="1"/>
      <c r="J16" s="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thickBot="1" x14ac:dyDescent="0.35">
      <c r="A17" s="1"/>
      <c r="B17" s="1"/>
      <c r="C17" s="89" t="s">
        <v>9</v>
      </c>
      <c r="D17" s="91" t="s">
        <v>10</v>
      </c>
      <c r="E17" s="89" t="s">
        <v>11</v>
      </c>
      <c r="F17" s="89" t="s">
        <v>12</v>
      </c>
      <c r="G17" s="89" t="s">
        <v>13</v>
      </c>
      <c r="H17" s="92" t="s">
        <v>14</v>
      </c>
      <c r="I17" s="93"/>
      <c r="J17" s="91" t="s">
        <v>15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90"/>
      <c r="D18" s="90"/>
      <c r="E18" s="90"/>
      <c r="F18" s="90"/>
      <c r="G18" s="90"/>
      <c r="H18" s="5" t="s">
        <v>16</v>
      </c>
      <c r="I18" s="5" t="s">
        <v>17</v>
      </c>
      <c r="J18" s="90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6">
        <v>1</v>
      </c>
      <c r="D19" s="7">
        <v>46279</v>
      </c>
      <c r="E19" s="31" t="s">
        <v>50</v>
      </c>
      <c r="F19" s="18" t="s">
        <v>29</v>
      </c>
      <c r="G19" s="8"/>
      <c r="H19" s="9"/>
      <c r="I19" s="10"/>
      <c r="J19" s="11">
        <f>+'DETALLE - 943,93'!H17</f>
        <v>623.25</v>
      </c>
      <c r="K19" s="1" t="s">
        <v>67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6">
        <v>2</v>
      </c>
      <c r="D20" s="66"/>
      <c r="E20" s="80" t="s">
        <v>92</v>
      </c>
      <c r="F20" s="67"/>
      <c r="G20" s="68"/>
      <c r="H20" s="69"/>
      <c r="I20" s="70"/>
      <c r="J20" s="7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"/>
      <c r="C21" s="6">
        <v>3</v>
      </c>
      <c r="D21" s="66"/>
      <c r="E21" s="81" t="s">
        <v>93</v>
      </c>
      <c r="F21" s="73"/>
      <c r="G21" s="68"/>
      <c r="H21" s="69"/>
      <c r="I21" s="70"/>
      <c r="J21" s="71">
        <v>1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1"/>
      <c r="C22" s="6">
        <v>3</v>
      </c>
      <c r="D22" s="66"/>
      <c r="E22" s="72"/>
      <c r="F22" s="73"/>
      <c r="G22" s="68"/>
      <c r="H22" s="69"/>
      <c r="I22" s="70"/>
      <c r="J22" s="71"/>
      <c r="K22" s="1"/>
      <c r="L22" s="1"/>
      <c r="M22" s="77" t="s">
        <v>68</v>
      </c>
      <c r="N22" s="77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1"/>
      <c r="C23" s="6">
        <v>5</v>
      </c>
      <c r="D23" s="7"/>
      <c r="E23" s="17" t="s">
        <v>65</v>
      </c>
      <c r="F23" s="18"/>
      <c r="G23" s="8"/>
      <c r="H23" s="9"/>
      <c r="I23" s="6"/>
      <c r="J23" s="1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6">
        <v>6</v>
      </c>
      <c r="D24" s="7"/>
      <c r="E24" s="6"/>
      <c r="F24" s="6"/>
      <c r="G24" s="12"/>
      <c r="H24" s="13"/>
      <c r="I24" s="6"/>
      <c r="J24" s="1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thickBot="1" x14ac:dyDescent="0.35">
      <c r="A25" s="1"/>
      <c r="B25" s="1"/>
      <c r="C25" s="94" t="s">
        <v>18</v>
      </c>
      <c r="D25" s="95"/>
      <c r="E25" s="95"/>
      <c r="F25" s="95"/>
      <c r="G25" s="95"/>
      <c r="H25" s="95"/>
      <c r="I25" s="96"/>
      <c r="J25" s="24">
        <f>SUM(J19:J24)</f>
        <v>624.25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thickBot="1" x14ac:dyDescent="0.35">
      <c r="A27" s="1"/>
      <c r="B27" s="1"/>
      <c r="C27" s="1"/>
      <c r="D27" s="1"/>
      <c r="E27" s="1"/>
      <c r="F27" s="1"/>
      <c r="G27" s="1"/>
      <c r="H27" s="1"/>
      <c r="I27" s="1"/>
      <c r="J27" s="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thickBot="1" x14ac:dyDescent="0.35">
      <c r="A28" s="1"/>
      <c r="B28" s="1"/>
      <c r="C28" s="1"/>
      <c r="D28" s="1"/>
      <c r="E28" s="1"/>
      <c r="F28" s="1"/>
      <c r="G28" s="1"/>
      <c r="H28" s="97" t="s">
        <v>19</v>
      </c>
      <c r="I28" s="98"/>
      <c r="J28" s="99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thickBot="1" x14ac:dyDescent="0.35">
      <c r="A29" s="1"/>
      <c r="B29" s="1"/>
      <c r="C29" s="1"/>
      <c r="D29" s="1"/>
      <c r="E29" s="1"/>
      <c r="F29" s="1"/>
      <c r="G29" s="1"/>
      <c r="H29" s="27" t="s">
        <v>20</v>
      </c>
      <c r="I29" s="28"/>
      <c r="J29" s="29">
        <v>710.77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thickBot="1" x14ac:dyDescent="0.35">
      <c r="A30" s="78"/>
      <c r="B30" s="78"/>
      <c r="C30" s="78"/>
      <c r="D30" s="78"/>
      <c r="E30" s="78"/>
      <c r="F30" s="78"/>
      <c r="G30" s="78"/>
      <c r="H30" s="79" t="s">
        <v>69</v>
      </c>
      <c r="I30" s="28"/>
      <c r="J30" s="29">
        <v>390.81</v>
      </c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 thickBot="1" x14ac:dyDescent="0.35">
      <c r="A31" s="1"/>
      <c r="B31" s="1"/>
      <c r="C31" s="1"/>
      <c r="D31" s="1"/>
      <c r="E31" s="1"/>
      <c r="F31" s="1"/>
      <c r="G31" s="1"/>
      <c r="H31" s="15" t="s">
        <v>21</v>
      </c>
      <c r="I31" s="16"/>
      <c r="J31" s="41">
        <f>-J25</f>
        <v>-624.25</v>
      </c>
      <c r="K31" s="42"/>
      <c r="L31" s="43" t="s">
        <v>52</v>
      </c>
      <c r="M31" s="42"/>
      <c r="N31" s="42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thickBot="1" x14ac:dyDescent="0.35">
      <c r="A32" s="1"/>
      <c r="B32" s="1"/>
      <c r="C32" s="1"/>
      <c r="D32" s="100" t="s">
        <v>22</v>
      </c>
      <c r="E32" s="83"/>
      <c r="F32" s="100" t="s">
        <v>23</v>
      </c>
      <c r="G32" s="83"/>
      <c r="H32" s="101" t="s">
        <v>24</v>
      </c>
      <c r="I32" s="102"/>
      <c r="J32" s="30">
        <f>+J29+J30+J31</f>
        <v>477.32999999999993</v>
      </c>
      <c r="K32" s="14"/>
      <c r="L32" s="1" t="s">
        <v>27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42.75" customHeight="1" x14ac:dyDescent="0.3">
      <c r="A35" s="1"/>
      <c r="B35" s="1"/>
      <c r="C35" s="1"/>
      <c r="D35" s="100"/>
      <c r="E35" s="83"/>
      <c r="F35" s="1"/>
      <c r="G35" s="1"/>
      <c r="H35" s="1"/>
      <c r="I35" s="1"/>
      <c r="J35" s="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"/>
      <c r="D36" s="100" t="s">
        <v>25</v>
      </c>
      <c r="E36" s="83"/>
      <c r="F36" s="100" t="s">
        <v>26</v>
      </c>
      <c r="G36" s="83"/>
      <c r="H36" s="1"/>
      <c r="I36" s="1"/>
      <c r="J36" s="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03" t="s">
        <v>51</v>
      </c>
      <c r="E37" s="83"/>
      <c r="F37" s="100" t="s">
        <v>56</v>
      </c>
      <c r="G37" s="83"/>
      <c r="H37" s="1"/>
      <c r="I37" s="1"/>
      <c r="J37" s="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03" t="s">
        <v>58</v>
      </c>
      <c r="E38" s="83"/>
      <c r="F38" s="103" t="s">
        <v>57</v>
      </c>
      <c r="G38" s="83"/>
      <c r="H38" s="1"/>
      <c r="I38" s="1"/>
      <c r="J38" s="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00"/>
      <c r="E39" s="83"/>
      <c r="F39" s="100"/>
      <c r="G39" s="83"/>
      <c r="H39" s="1"/>
      <c r="I39" s="1"/>
      <c r="J39" s="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2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2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2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2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2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2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2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2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2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2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2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2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2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2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2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2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2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2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2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2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2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2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2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2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2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2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2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2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2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2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2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2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2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2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2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2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2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2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2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2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2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2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2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2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2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2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2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2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2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2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2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2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</sheetData>
  <mergeCells count="28">
    <mergeCell ref="D39:E39"/>
    <mergeCell ref="F39:G39"/>
    <mergeCell ref="D35:E35"/>
    <mergeCell ref="D36:E36"/>
    <mergeCell ref="F36:G36"/>
    <mergeCell ref="D37:E37"/>
    <mergeCell ref="F37:G37"/>
    <mergeCell ref="D38:E38"/>
    <mergeCell ref="F38:G38"/>
    <mergeCell ref="J17:J18"/>
    <mergeCell ref="C25:I25"/>
    <mergeCell ref="H28:J28"/>
    <mergeCell ref="D32:E32"/>
    <mergeCell ref="F32:G32"/>
    <mergeCell ref="H32:I32"/>
    <mergeCell ref="E13:I13"/>
    <mergeCell ref="C17:C18"/>
    <mergeCell ref="D17:D18"/>
    <mergeCell ref="E17:E18"/>
    <mergeCell ref="F17:F18"/>
    <mergeCell ref="G17:G18"/>
    <mergeCell ref="H17:I17"/>
    <mergeCell ref="C11:D11"/>
    <mergeCell ref="C5:J5"/>
    <mergeCell ref="C6:J6"/>
    <mergeCell ref="C8:D8"/>
    <mergeCell ref="C9:D9"/>
    <mergeCell ref="C10:D10"/>
  </mergeCells>
  <pageMargins left="0.23622047244094491" right="0.23622047244094491" top="0.35433070866141736" bottom="0.35433070866141736" header="0" footer="0"/>
  <pageSetup paperSize="9" scale="8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44348-76A9-47F1-BA06-0E88A8CD2E88}">
  <dimension ref="A1:L17"/>
  <sheetViews>
    <sheetView tabSelected="1" workbookViewId="0">
      <pane ySplit="1" topLeftCell="A2" activePane="bottomLeft" state="frozen"/>
      <selection pane="bottomLeft" activeCell="E23" sqref="E23"/>
    </sheetView>
  </sheetViews>
  <sheetFormatPr baseColWidth="10" defaultRowHeight="14.4" x14ac:dyDescent="0.3"/>
  <cols>
    <col min="1" max="1" width="13.109375" customWidth="1"/>
    <col min="5" max="5" width="35.44140625" customWidth="1"/>
    <col min="6" max="6" width="20.33203125" customWidth="1"/>
    <col min="7" max="7" width="36.5546875" style="23" customWidth="1"/>
    <col min="8" max="8" width="11.88671875" bestFit="1" customWidth="1"/>
  </cols>
  <sheetData>
    <row r="1" spans="1:12" ht="15.6" x14ac:dyDescent="0.3">
      <c r="A1" s="19" t="s">
        <v>10</v>
      </c>
      <c r="B1" s="19" t="s">
        <v>30</v>
      </c>
      <c r="C1" s="19" t="s">
        <v>31</v>
      </c>
      <c r="D1" s="19" t="s">
        <v>32</v>
      </c>
      <c r="E1" s="19" t="s">
        <v>12</v>
      </c>
      <c r="F1" s="19" t="s">
        <v>33</v>
      </c>
      <c r="G1" s="22" t="s">
        <v>11</v>
      </c>
      <c r="H1" s="20" t="s">
        <v>34</v>
      </c>
      <c r="I1" s="21"/>
      <c r="J1" s="21"/>
      <c r="K1" s="21"/>
      <c r="L1" s="21"/>
    </row>
    <row r="2" spans="1:12" ht="15.6" x14ac:dyDescent="0.3">
      <c r="A2" s="44">
        <v>46273</v>
      </c>
      <c r="B2" s="45" t="s">
        <v>35</v>
      </c>
      <c r="C2" s="45" t="s">
        <v>36</v>
      </c>
      <c r="D2" s="45" t="s">
        <v>49</v>
      </c>
      <c r="E2" s="46" t="s">
        <v>38</v>
      </c>
      <c r="F2" s="46" t="s">
        <v>70</v>
      </c>
      <c r="G2" s="46" t="s">
        <v>44</v>
      </c>
      <c r="H2" s="74">
        <v>6.3</v>
      </c>
      <c r="I2" s="21"/>
      <c r="J2" s="21"/>
      <c r="K2" s="21"/>
      <c r="L2" s="21"/>
    </row>
    <row r="3" spans="1:12" ht="15.6" x14ac:dyDescent="0.3">
      <c r="A3" s="55">
        <v>46273</v>
      </c>
      <c r="B3" s="49" t="s">
        <v>35</v>
      </c>
      <c r="C3" s="49" t="s">
        <v>36</v>
      </c>
      <c r="D3" s="49" t="s">
        <v>49</v>
      </c>
      <c r="E3" s="56" t="s">
        <v>38</v>
      </c>
      <c r="F3" s="56" t="s">
        <v>71</v>
      </c>
      <c r="G3" s="56" t="s">
        <v>66</v>
      </c>
      <c r="H3" s="75">
        <v>6.3</v>
      </c>
      <c r="I3" s="21"/>
      <c r="J3" s="21"/>
      <c r="K3" s="21"/>
      <c r="L3" s="21"/>
    </row>
    <row r="4" spans="1:12" ht="15.6" x14ac:dyDescent="0.3">
      <c r="A4" s="44">
        <v>46274</v>
      </c>
      <c r="B4" s="45" t="s">
        <v>35</v>
      </c>
      <c r="C4" s="45" t="s">
        <v>72</v>
      </c>
      <c r="D4" s="45" t="s">
        <v>49</v>
      </c>
      <c r="E4" s="46" t="s">
        <v>73</v>
      </c>
      <c r="F4" s="46" t="s">
        <v>74</v>
      </c>
      <c r="G4" s="46" t="s">
        <v>75</v>
      </c>
      <c r="H4" s="74">
        <v>15</v>
      </c>
      <c r="I4" s="21"/>
      <c r="J4" s="21"/>
      <c r="K4" s="21"/>
      <c r="L4" s="21"/>
    </row>
    <row r="5" spans="1:12" ht="15.6" x14ac:dyDescent="0.3">
      <c r="A5" s="47">
        <v>46274</v>
      </c>
      <c r="B5" s="48" t="s">
        <v>35</v>
      </c>
      <c r="C5" s="48" t="s">
        <v>41</v>
      </c>
      <c r="D5" s="49" t="s">
        <v>49</v>
      </c>
      <c r="E5" s="50" t="s">
        <v>76</v>
      </c>
      <c r="F5" s="50" t="s">
        <v>77</v>
      </c>
      <c r="G5" s="50" t="s">
        <v>78</v>
      </c>
      <c r="H5" s="51">
        <v>185</v>
      </c>
    </row>
    <row r="6" spans="1:12" ht="15.6" x14ac:dyDescent="0.3">
      <c r="A6" s="52">
        <v>46274</v>
      </c>
      <c r="B6" s="53" t="s">
        <v>37</v>
      </c>
      <c r="C6" s="53" t="s">
        <v>40</v>
      </c>
      <c r="D6" s="58" t="s">
        <v>49</v>
      </c>
      <c r="E6" s="54" t="s">
        <v>79</v>
      </c>
      <c r="F6" s="54" t="s">
        <v>80</v>
      </c>
      <c r="G6" s="46" t="s">
        <v>81</v>
      </c>
      <c r="H6" s="76">
        <v>37.75</v>
      </c>
    </row>
    <row r="7" spans="1:12" ht="15.6" x14ac:dyDescent="0.3">
      <c r="A7" s="47">
        <v>46274</v>
      </c>
      <c r="B7" s="48" t="s">
        <v>37</v>
      </c>
      <c r="C7" s="48" t="s">
        <v>36</v>
      </c>
      <c r="D7" s="57" t="s">
        <v>49</v>
      </c>
      <c r="E7" s="50" t="s">
        <v>38</v>
      </c>
      <c r="F7" s="50" t="s">
        <v>82</v>
      </c>
      <c r="G7" s="50" t="s">
        <v>66</v>
      </c>
      <c r="H7" s="51">
        <v>6.3</v>
      </c>
    </row>
    <row r="8" spans="1:12" ht="15.6" x14ac:dyDescent="0.3">
      <c r="A8" s="55">
        <v>46275</v>
      </c>
      <c r="B8" s="49" t="s">
        <v>37</v>
      </c>
      <c r="C8" s="49" t="s">
        <v>72</v>
      </c>
      <c r="D8" s="49" t="s">
        <v>49</v>
      </c>
      <c r="E8" s="56" t="s">
        <v>73</v>
      </c>
      <c r="F8" s="56" t="s">
        <v>83</v>
      </c>
      <c r="G8" s="56" t="s">
        <v>75</v>
      </c>
      <c r="H8" s="75">
        <v>18</v>
      </c>
    </row>
    <row r="9" spans="1:12" ht="15.6" x14ac:dyDescent="0.3">
      <c r="A9" s="52">
        <v>46275</v>
      </c>
      <c r="B9" s="53" t="s">
        <v>35</v>
      </c>
      <c r="C9" s="53" t="s">
        <v>36</v>
      </c>
      <c r="D9" s="45" t="s">
        <v>49</v>
      </c>
      <c r="E9" s="54" t="s">
        <v>38</v>
      </c>
      <c r="F9" s="54" t="s">
        <v>84</v>
      </c>
      <c r="G9" s="54" t="s">
        <v>44</v>
      </c>
      <c r="H9" s="76">
        <v>6.3</v>
      </c>
    </row>
    <row r="10" spans="1:12" ht="15.6" x14ac:dyDescent="0.3">
      <c r="A10" s="55">
        <v>46275</v>
      </c>
      <c r="B10" s="49" t="s">
        <v>35</v>
      </c>
      <c r="C10" s="49" t="s">
        <v>36</v>
      </c>
      <c r="D10" s="57" t="s">
        <v>49</v>
      </c>
      <c r="E10" s="56" t="s">
        <v>38</v>
      </c>
      <c r="F10" s="56" t="s">
        <v>85</v>
      </c>
      <c r="G10" s="56" t="s">
        <v>39</v>
      </c>
      <c r="H10" s="75">
        <v>6.3</v>
      </c>
    </row>
    <row r="11" spans="1:12" ht="15.6" x14ac:dyDescent="0.3">
      <c r="A11" s="44">
        <v>46276</v>
      </c>
      <c r="B11" s="45" t="s">
        <v>37</v>
      </c>
      <c r="C11" s="45" t="s">
        <v>45</v>
      </c>
      <c r="D11" s="45" t="s">
        <v>49</v>
      </c>
      <c r="E11" s="46" t="s">
        <v>86</v>
      </c>
      <c r="F11" s="46" t="s">
        <v>87</v>
      </c>
      <c r="G11" s="46" t="s">
        <v>88</v>
      </c>
      <c r="H11" s="74">
        <v>36</v>
      </c>
    </row>
    <row r="12" spans="1:12" ht="15.6" x14ac:dyDescent="0.3">
      <c r="A12" s="55">
        <v>46277</v>
      </c>
      <c r="B12" s="49" t="s">
        <v>35</v>
      </c>
      <c r="C12" s="49" t="s">
        <v>41</v>
      </c>
      <c r="D12" s="49" t="s">
        <v>49</v>
      </c>
      <c r="E12" s="56" t="s">
        <v>76</v>
      </c>
      <c r="F12" s="56" t="s">
        <v>89</v>
      </c>
      <c r="G12" s="50" t="s">
        <v>78</v>
      </c>
      <c r="H12" s="75">
        <v>200</v>
      </c>
    </row>
    <row r="13" spans="1:12" ht="15.6" x14ac:dyDescent="0.3">
      <c r="A13" s="52">
        <v>46277</v>
      </c>
      <c r="B13" s="53" t="s">
        <v>37</v>
      </c>
      <c r="C13" s="53" t="s">
        <v>45</v>
      </c>
      <c r="D13" s="45" t="s">
        <v>49</v>
      </c>
      <c r="E13" s="54" t="s">
        <v>48</v>
      </c>
      <c r="F13" s="54" t="s">
        <v>90</v>
      </c>
      <c r="G13" s="46" t="s">
        <v>46</v>
      </c>
      <c r="H13" s="76">
        <v>70</v>
      </c>
    </row>
    <row r="14" spans="1:12" ht="15.6" x14ac:dyDescent="0.3">
      <c r="A14" s="47">
        <v>46277</v>
      </c>
      <c r="B14" s="48" t="s">
        <v>37</v>
      </c>
      <c r="C14" s="48" t="s">
        <v>40</v>
      </c>
      <c r="D14" s="65" t="s">
        <v>49</v>
      </c>
      <c r="E14" s="50" t="s">
        <v>42</v>
      </c>
      <c r="F14" s="50" t="s">
        <v>91</v>
      </c>
      <c r="G14" s="50" t="s">
        <v>43</v>
      </c>
      <c r="H14" s="51">
        <v>30</v>
      </c>
    </row>
    <row r="15" spans="1:12" ht="15.6" x14ac:dyDescent="0.3">
      <c r="A15" s="52"/>
      <c r="B15" s="53"/>
      <c r="C15" s="53"/>
      <c r="D15" s="58"/>
      <c r="E15" s="54"/>
      <c r="F15" s="54"/>
      <c r="G15" s="54"/>
      <c r="H15" s="76"/>
    </row>
    <row r="16" spans="1:12" ht="15.6" x14ac:dyDescent="0.3">
      <c r="A16" s="47"/>
      <c r="B16" s="48"/>
      <c r="C16" s="48"/>
      <c r="D16" s="65"/>
      <c r="E16" s="50"/>
      <c r="F16" s="50"/>
      <c r="G16" s="50"/>
      <c r="H16" s="51"/>
    </row>
    <row r="17" spans="8:8" x14ac:dyDescent="0.3">
      <c r="H17" s="64">
        <f>SUM(H2:H16)</f>
        <v>623.25</v>
      </c>
    </row>
  </sheetData>
  <dataValidations count="1">
    <dataValidation type="list" allowBlank="1" showInputMessage="1" showErrorMessage="1" sqref="D2:D16" xr:uid="{C64B326E-6A64-4FEA-B9AA-1AC7CE3D0E5F}">
      <formula1>"CUENTA, SEBASTIAN, PERSONAL, CAJA"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3"/>
  <sheetViews>
    <sheetView zoomScale="85" zoomScaleNormal="85" workbookViewId="0">
      <selection activeCell="J22" sqref="J22"/>
    </sheetView>
  </sheetViews>
  <sheetFormatPr baseColWidth="10" defaultColWidth="14.44140625" defaultRowHeight="15" customHeight="1" x14ac:dyDescent="0.3"/>
  <cols>
    <col min="1" max="1" width="2.5546875" customWidth="1"/>
    <col min="2" max="2" width="2.109375" customWidth="1"/>
    <col min="3" max="3" width="3.6640625" customWidth="1"/>
    <col min="4" max="4" width="20" customWidth="1"/>
    <col min="5" max="5" width="46.109375" customWidth="1"/>
    <col min="6" max="6" width="33.88671875" customWidth="1"/>
    <col min="7" max="7" width="12.44140625" customWidth="1"/>
    <col min="8" max="8" width="8.6640625" customWidth="1"/>
    <col min="9" max="9" width="16.88671875" customWidth="1"/>
    <col min="10" max="10" width="11.44140625" customWidth="1"/>
    <col min="11" max="11" width="3.6640625" customWidth="1"/>
    <col min="12" max="12" width="17.109375" customWidth="1"/>
    <col min="13" max="26" width="10.6640625" customWidth="1"/>
  </cols>
  <sheetData>
    <row r="1" spans="1:26" ht="14.4" x14ac:dyDescent="0.3">
      <c r="A1" s="1"/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1"/>
      <c r="C2" s="1"/>
      <c r="D2" s="1"/>
      <c r="E2" s="1"/>
      <c r="F2" s="1"/>
      <c r="G2" s="1"/>
      <c r="H2" s="1"/>
      <c r="I2" s="1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 x14ac:dyDescent="0.3">
      <c r="A3" s="1"/>
      <c r="B3" s="1"/>
      <c r="C3" s="1"/>
      <c r="D3" s="1"/>
      <c r="E3" s="1"/>
      <c r="F3" s="1"/>
      <c r="G3" s="1"/>
      <c r="H3" s="1"/>
      <c r="I3" s="1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 x14ac:dyDescent="0.3">
      <c r="A4" s="1"/>
      <c r="B4" s="1"/>
      <c r="C4" s="1"/>
      <c r="D4" s="1"/>
      <c r="E4" s="1"/>
      <c r="F4" s="1"/>
      <c r="G4" s="1"/>
      <c r="H4" s="1"/>
      <c r="I4" s="1"/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" x14ac:dyDescent="0.3">
      <c r="A5" s="1"/>
      <c r="B5" s="1"/>
      <c r="C5" s="84" t="s">
        <v>0</v>
      </c>
      <c r="D5" s="85"/>
      <c r="E5" s="85"/>
      <c r="F5" s="85"/>
      <c r="G5" s="85"/>
      <c r="H5" s="85"/>
      <c r="I5" s="85"/>
      <c r="J5" s="8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4" x14ac:dyDescent="0.3">
      <c r="A6" s="1"/>
      <c r="B6" s="1"/>
      <c r="C6" s="84" t="s">
        <v>1</v>
      </c>
      <c r="D6" s="85"/>
      <c r="E6" s="85"/>
      <c r="F6" s="85"/>
      <c r="G6" s="85"/>
      <c r="H6" s="85"/>
      <c r="I6" s="85"/>
      <c r="J6" s="8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"/>
      <c r="D7" s="1"/>
      <c r="E7" s="1"/>
      <c r="F7" s="1"/>
      <c r="G7" s="1"/>
      <c r="H7" s="1"/>
      <c r="I7" s="1"/>
      <c r="J7" s="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4" x14ac:dyDescent="0.3">
      <c r="A8" s="1"/>
      <c r="B8" s="1"/>
      <c r="C8" s="82" t="s">
        <v>2</v>
      </c>
      <c r="D8" s="83"/>
      <c r="E8" s="25" t="s">
        <v>51</v>
      </c>
      <c r="F8" s="1"/>
      <c r="G8" s="1"/>
      <c r="H8" s="1"/>
      <c r="I8" s="1"/>
      <c r="J8" s="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4" x14ac:dyDescent="0.3">
      <c r="A9" s="1"/>
      <c r="B9" s="1"/>
      <c r="C9" s="82" t="s">
        <v>3</v>
      </c>
      <c r="D9" s="83"/>
      <c r="E9" s="3">
        <v>46258</v>
      </c>
      <c r="F9" s="1"/>
      <c r="G9" s="1"/>
      <c r="H9" s="1"/>
      <c r="I9" s="1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82" t="s">
        <v>4</v>
      </c>
      <c r="D10" s="83"/>
      <c r="E10" s="26" t="s">
        <v>53</v>
      </c>
      <c r="F10" s="1"/>
      <c r="G10" s="1"/>
      <c r="H10" s="1"/>
      <c r="I10" s="1"/>
      <c r="J10" s="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" x14ac:dyDescent="0.3">
      <c r="A11" s="1"/>
      <c r="B11" s="1"/>
      <c r="C11" s="82" t="s">
        <v>5</v>
      </c>
      <c r="D11" s="83"/>
      <c r="E11" s="26" t="s">
        <v>54</v>
      </c>
      <c r="F11" s="1"/>
      <c r="G11" s="1"/>
      <c r="H11" s="1"/>
      <c r="I11" s="1"/>
      <c r="J11" s="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4"/>
      <c r="D12" s="1"/>
      <c r="E12" s="1"/>
      <c r="F12" s="1"/>
      <c r="G12" s="1"/>
      <c r="H12" s="1"/>
      <c r="I12" s="1"/>
      <c r="J12" s="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4" t="s">
        <v>6</v>
      </c>
      <c r="D13" s="1"/>
      <c r="E13" s="86" t="s">
        <v>55</v>
      </c>
      <c r="F13" s="87"/>
      <c r="G13" s="87"/>
      <c r="H13" s="87"/>
      <c r="I13" s="88"/>
      <c r="J13" s="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" x14ac:dyDescent="0.3">
      <c r="A14" s="1"/>
      <c r="B14" s="1"/>
      <c r="C14" s="1"/>
      <c r="D14" s="1"/>
      <c r="E14" s="1"/>
      <c r="F14" s="1"/>
      <c r="G14" s="1"/>
      <c r="H14" s="1"/>
      <c r="I14" s="1"/>
      <c r="J14" s="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" t="s">
        <v>7</v>
      </c>
      <c r="D15" s="1"/>
      <c r="E15" s="1"/>
      <c r="F15" s="1"/>
      <c r="G15" s="1"/>
      <c r="H15" s="1"/>
      <c r="I15" s="1"/>
      <c r="J15" s="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" t="s">
        <v>8</v>
      </c>
      <c r="D16" s="1"/>
      <c r="E16" s="1"/>
      <c r="F16" s="1"/>
      <c r="G16" s="1"/>
      <c r="H16" s="1"/>
      <c r="I16" s="1"/>
      <c r="J16" s="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89" t="s">
        <v>9</v>
      </c>
      <c r="D17" s="91" t="s">
        <v>10</v>
      </c>
      <c r="E17" s="89" t="s">
        <v>11</v>
      </c>
      <c r="F17" s="89" t="s">
        <v>12</v>
      </c>
      <c r="G17" s="89" t="s">
        <v>13</v>
      </c>
      <c r="H17" s="92" t="s">
        <v>14</v>
      </c>
      <c r="I17" s="93"/>
      <c r="J17" s="91" t="s">
        <v>15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90"/>
      <c r="D18" s="90"/>
      <c r="E18" s="90"/>
      <c r="F18" s="90"/>
      <c r="G18" s="90"/>
      <c r="H18" s="5" t="s">
        <v>16</v>
      </c>
      <c r="I18" s="5" t="s">
        <v>17</v>
      </c>
      <c r="J18" s="90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6">
        <v>1</v>
      </c>
      <c r="D19" s="7">
        <v>46259</v>
      </c>
      <c r="E19" s="31" t="s">
        <v>50</v>
      </c>
      <c r="F19" s="18" t="s">
        <v>29</v>
      </c>
      <c r="G19" s="8"/>
      <c r="H19" s="9"/>
      <c r="I19" s="10"/>
      <c r="J19" s="11">
        <f>+'plantilla,'!H8</f>
        <v>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6">
        <v>2</v>
      </c>
      <c r="D20" s="32"/>
      <c r="E20" s="33" t="s">
        <v>28</v>
      </c>
      <c r="F20" s="34"/>
      <c r="G20" s="35"/>
      <c r="H20" s="36"/>
      <c r="I20" s="37"/>
      <c r="J20" s="38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"/>
      <c r="C21" s="6">
        <v>3</v>
      </c>
      <c r="D21" s="32"/>
      <c r="E21" s="39"/>
      <c r="F21" s="40"/>
      <c r="G21" s="35"/>
      <c r="H21" s="36"/>
      <c r="I21" s="37"/>
      <c r="J21" s="38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1"/>
      <c r="C22" s="6">
        <v>3</v>
      </c>
      <c r="D22" s="32"/>
      <c r="E22" s="39"/>
      <c r="F22" s="40"/>
      <c r="G22" s="35"/>
      <c r="H22" s="36"/>
      <c r="I22" s="37"/>
      <c r="J22" s="38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1"/>
      <c r="C23" s="6">
        <v>5</v>
      </c>
      <c r="D23" s="7"/>
      <c r="E23" s="17"/>
      <c r="F23" s="18"/>
      <c r="G23" s="8"/>
      <c r="H23" s="9"/>
      <c r="I23" s="6"/>
      <c r="J23" s="1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6">
        <v>6</v>
      </c>
      <c r="D24" s="7"/>
      <c r="E24" s="6"/>
      <c r="F24" s="6"/>
      <c r="G24" s="12"/>
      <c r="H24" s="13"/>
      <c r="I24" s="6"/>
      <c r="J24" s="1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"/>
      <c r="C25" s="94" t="s">
        <v>18</v>
      </c>
      <c r="D25" s="95"/>
      <c r="E25" s="95"/>
      <c r="F25" s="95"/>
      <c r="G25" s="95"/>
      <c r="H25" s="95"/>
      <c r="I25" s="96"/>
      <c r="J25" s="24">
        <f>SUM(J19:J24)</f>
        <v>0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1"/>
      <c r="D28" s="1"/>
      <c r="E28" s="1"/>
      <c r="F28" s="1"/>
      <c r="G28" s="1"/>
      <c r="H28" s="97" t="s">
        <v>19</v>
      </c>
      <c r="I28" s="98"/>
      <c r="J28" s="99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"/>
      <c r="C29" s="1"/>
      <c r="D29" s="1"/>
      <c r="E29" s="1"/>
      <c r="F29" s="1"/>
      <c r="G29" s="1"/>
      <c r="H29" s="27" t="s">
        <v>20</v>
      </c>
      <c r="I29" s="28"/>
      <c r="J29" s="29">
        <v>0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1"/>
      <c r="D30" s="1"/>
      <c r="E30" s="1"/>
      <c r="F30" s="1"/>
      <c r="G30" s="1"/>
      <c r="H30" s="15" t="s">
        <v>21</v>
      </c>
      <c r="I30" s="16"/>
      <c r="J30" s="41">
        <f>+J25</f>
        <v>0</v>
      </c>
      <c r="K30" s="42"/>
      <c r="L30" s="43" t="s">
        <v>52</v>
      </c>
      <c r="M30" s="42"/>
      <c r="N30" s="42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1"/>
      <c r="D31" s="100" t="s">
        <v>22</v>
      </c>
      <c r="E31" s="83"/>
      <c r="F31" s="100" t="s">
        <v>23</v>
      </c>
      <c r="G31" s="83"/>
      <c r="H31" s="101" t="s">
        <v>24</v>
      </c>
      <c r="I31" s="102"/>
      <c r="J31" s="30">
        <f>+J29-J30</f>
        <v>0</v>
      </c>
      <c r="K31" s="14"/>
      <c r="L31" s="1" t="s">
        <v>27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42.75" customHeight="1" x14ac:dyDescent="0.3">
      <c r="A34" s="1"/>
      <c r="B34" s="1"/>
      <c r="C34" s="1"/>
      <c r="D34" s="100"/>
      <c r="E34" s="83"/>
      <c r="F34" s="1"/>
      <c r="G34" s="1"/>
      <c r="H34" s="1"/>
      <c r="I34" s="1"/>
      <c r="J34" s="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"/>
      <c r="D35" s="100" t="s">
        <v>25</v>
      </c>
      <c r="E35" s="83"/>
      <c r="F35" s="100" t="s">
        <v>26</v>
      </c>
      <c r="G35" s="83"/>
      <c r="H35" s="1"/>
      <c r="I35" s="1"/>
      <c r="J35" s="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"/>
      <c r="D36" s="103" t="s">
        <v>51</v>
      </c>
      <c r="E36" s="83"/>
      <c r="F36" s="100" t="s">
        <v>56</v>
      </c>
      <c r="G36" s="83"/>
      <c r="H36" s="1"/>
      <c r="I36" s="1"/>
      <c r="J36" s="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03" t="s">
        <v>58</v>
      </c>
      <c r="E37" s="83"/>
      <c r="F37" s="103" t="s">
        <v>57</v>
      </c>
      <c r="G37" s="83"/>
      <c r="H37" s="1"/>
      <c r="I37" s="1"/>
      <c r="J37" s="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00"/>
      <c r="E38" s="83"/>
      <c r="F38" s="100"/>
      <c r="G38" s="83"/>
      <c r="H38" s="1"/>
      <c r="I38" s="1"/>
      <c r="J38" s="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2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2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2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2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2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2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2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2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2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2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2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2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2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2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2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2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2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2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2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2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2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2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2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2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2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2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2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2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2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2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2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2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2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2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2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2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2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2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2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2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2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2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2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2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2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2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2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2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2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2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2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</sheetData>
  <mergeCells count="28">
    <mergeCell ref="D38:E38"/>
    <mergeCell ref="F38:G38"/>
    <mergeCell ref="C25:I25"/>
    <mergeCell ref="H28:J28"/>
    <mergeCell ref="D31:E31"/>
    <mergeCell ref="F31:G31"/>
    <mergeCell ref="H31:I31"/>
    <mergeCell ref="D34:E34"/>
    <mergeCell ref="F35:G35"/>
    <mergeCell ref="J17:J18"/>
    <mergeCell ref="D35:E35"/>
    <mergeCell ref="D36:E36"/>
    <mergeCell ref="F36:G36"/>
    <mergeCell ref="D37:E37"/>
    <mergeCell ref="F37:G37"/>
    <mergeCell ref="C11:D11"/>
    <mergeCell ref="E13:I13"/>
    <mergeCell ref="C17:C18"/>
    <mergeCell ref="D17:D18"/>
    <mergeCell ref="E17:E18"/>
    <mergeCell ref="F17:F18"/>
    <mergeCell ref="G17:G18"/>
    <mergeCell ref="H17:I17"/>
    <mergeCell ref="C5:J5"/>
    <mergeCell ref="C6:J6"/>
    <mergeCell ref="C8:D8"/>
    <mergeCell ref="C9:D9"/>
    <mergeCell ref="C10:D10"/>
  </mergeCells>
  <pageMargins left="0.23622047244094491" right="0.23622047244094491" top="0.35433070866141736" bottom="0.35433070866141736" header="0" footer="0"/>
  <pageSetup paperSize="9" scale="8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E2C0E-4426-468F-B627-C6987168FE9B}">
  <dimension ref="A1:L8"/>
  <sheetViews>
    <sheetView workbookViewId="0">
      <pane ySplit="1" topLeftCell="A2" activePane="bottomLeft" state="frozen"/>
      <selection activeCell="J22" sqref="J22"/>
      <selection pane="bottomLeft" activeCell="J22" sqref="J22"/>
    </sheetView>
  </sheetViews>
  <sheetFormatPr baseColWidth="10" defaultRowHeight="14.4" x14ac:dyDescent="0.3"/>
  <cols>
    <col min="5" max="5" width="35.44140625" customWidth="1"/>
    <col min="6" max="6" width="20.33203125" customWidth="1"/>
    <col min="7" max="7" width="36.5546875" style="23" customWidth="1"/>
    <col min="8" max="8" width="11.88671875" bestFit="1" customWidth="1"/>
  </cols>
  <sheetData>
    <row r="1" spans="1:12" ht="15.6" x14ac:dyDescent="0.3">
      <c r="A1" s="19" t="s">
        <v>10</v>
      </c>
      <c r="B1" s="19" t="s">
        <v>30</v>
      </c>
      <c r="C1" s="19" t="s">
        <v>31</v>
      </c>
      <c r="D1" s="19" t="s">
        <v>32</v>
      </c>
      <c r="E1" s="19" t="s">
        <v>12</v>
      </c>
      <c r="F1" s="19" t="s">
        <v>33</v>
      </c>
      <c r="G1" s="22" t="s">
        <v>11</v>
      </c>
      <c r="H1" s="20" t="s">
        <v>34</v>
      </c>
      <c r="I1" s="21"/>
      <c r="J1" s="21"/>
      <c r="K1" s="21"/>
      <c r="L1" s="21"/>
    </row>
    <row r="2" spans="1:12" ht="15.6" x14ac:dyDescent="0.3">
      <c r="A2" s="44">
        <v>46254</v>
      </c>
      <c r="B2" s="45" t="s">
        <v>35</v>
      </c>
      <c r="C2" s="45" t="s">
        <v>36</v>
      </c>
      <c r="D2" s="45" t="s">
        <v>49</v>
      </c>
      <c r="E2" s="46" t="s">
        <v>38</v>
      </c>
      <c r="F2" s="46" t="s">
        <v>59</v>
      </c>
      <c r="G2" s="46" t="s">
        <v>39</v>
      </c>
      <c r="H2" s="63">
        <v>0</v>
      </c>
      <c r="I2" s="21"/>
      <c r="J2" s="21"/>
      <c r="K2" s="21"/>
      <c r="L2" s="21"/>
    </row>
    <row r="3" spans="1:12" ht="15.6" x14ac:dyDescent="0.3">
      <c r="A3" s="47">
        <v>46254</v>
      </c>
      <c r="B3" s="48" t="s">
        <v>35</v>
      </c>
      <c r="C3" s="48" t="s">
        <v>36</v>
      </c>
      <c r="D3" s="49" t="s">
        <v>49</v>
      </c>
      <c r="E3" s="50" t="s">
        <v>38</v>
      </c>
      <c r="F3" s="50" t="s">
        <v>60</v>
      </c>
      <c r="G3" s="50" t="s">
        <v>47</v>
      </c>
      <c r="H3" s="60">
        <v>0</v>
      </c>
      <c r="I3" s="21"/>
      <c r="J3" s="21"/>
      <c r="K3" s="21"/>
      <c r="L3" s="21"/>
    </row>
    <row r="4" spans="1:12" ht="15.6" x14ac:dyDescent="0.3">
      <c r="A4" s="52">
        <v>46254</v>
      </c>
      <c r="B4" s="53" t="s">
        <v>35</v>
      </c>
      <c r="C4" s="53" t="s">
        <v>41</v>
      </c>
      <c r="D4" s="45" t="s">
        <v>49</v>
      </c>
      <c r="E4" s="54" t="s">
        <v>42</v>
      </c>
      <c r="F4" s="54" t="s">
        <v>61</v>
      </c>
      <c r="G4" s="54" t="s">
        <v>43</v>
      </c>
      <c r="H4" s="61">
        <v>0</v>
      </c>
      <c r="I4" s="21"/>
      <c r="J4" s="21"/>
      <c r="K4" s="21"/>
      <c r="L4" s="21"/>
    </row>
    <row r="5" spans="1:12" ht="15.6" x14ac:dyDescent="0.3">
      <c r="A5" s="55">
        <v>46258</v>
      </c>
      <c r="B5" s="49" t="s">
        <v>35</v>
      </c>
      <c r="C5" s="49" t="s">
        <v>36</v>
      </c>
      <c r="D5" s="49" t="s">
        <v>49</v>
      </c>
      <c r="E5" s="56" t="s">
        <v>38</v>
      </c>
      <c r="F5" s="56" t="s">
        <v>62</v>
      </c>
      <c r="G5" s="56" t="s">
        <v>44</v>
      </c>
      <c r="H5" s="62">
        <v>0</v>
      </c>
      <c r="I5" s="21"/>
      <c r="J5" s="21"/>
      <c r="K5" s="21"/>
      <c r="L5" s="21"/>
    </row>
    <row r="6" spans="1:12" ht="15.6" x14ac:dyDescent="0.3">
      <c r="A6" s="55">
        <v>46258</v>
      </c>
      <c r="B6" s="49" t="s">
        <v>37</v>
      </c>
      <c r="C6" s="49" t="s">
        <v>45</v>
      </c>
      <c r="D6" s="57" t="s">
        <v>49</v>
      </c>
      <c r="E6" s="56" t="s">
        <v>42</v>
      </c>
      <c r="F6" s="56" t="s">
        <v>63</v>
      </c>
      <c r="G6" s="50" t="s">
        <v>43</v>
      </c>
      <c r="H6" s="62">
        <v>0</v>
      </c>
      <c r="I6" s="21"/>
      <c r="J6" s="21"/>
      <c r="K6" s="21"/>
      <c r="L6" s="21"/>
    </row>
    <row r="7" spans="1:12" ht="15.6" x14ac:dyDescent="0.3">
      <c r="A7" s="44">
        <v>46259</v>
      </c>
      <c r="B7" s="45" t="s">
        <v>37</v>
      </c>
      <c r="C7" s="45" t="s">
        <v>40</v>
      </c>
      <c r="D7" s="45" t="s">
        <v>49</v>
      </c>
      <c r="E7" s="46" t="s">
        <v>48</v>
      </c>
      <c r="F7" s="46" t="s">
        <v>64</v>
      </c>
      <c r="G7" s="46" t="s">
        <v>46</v>
      </c>
      <c r="H7" s="63">
        <v>0</v>
      </c>
      <c r="I7" s="21"/>
      <c r="J7" s="21"/>
      <c r="K7" s="21"/>
      <c r="L7" s="21"/>
    </row>
    <row r="8" spans="1:12" x14ac:dyDescent="0.3">
      <c r="H8" s="59">
        <f>SUM(H2:H7)</f>
        <v>0</v>
      </c>
    </row>
  </sheetData>
  <dataValidations count="1">
    <dataValidation type="list" allowBlank="1" showInputMessage="1" showErrorMessage="1" sqref="D2:D7" xr:uid="{4CD722B9-8FD4-4C0B-A6AE-C29B46895B59}">
      <formula1>"CUENTA, SEBASTIAN, PERSONAL, CAJA"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CAJA 2 -943,93</vt:lpstr>
      <vt:lpstr>DETALLE - 943,93</vt:lpstr>
      <vt:lpstr>plantilla</vt:lpstr>
      <vt:lpstr>plantilla,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Mariela Casiano</cp:lastModifiedBy>
  <dcterms:modified xsi:type="dcterms:W3CDTF">2026-09-16T15:18:52Z</dcterms:modified>
</cp:coreProperties>
</file>