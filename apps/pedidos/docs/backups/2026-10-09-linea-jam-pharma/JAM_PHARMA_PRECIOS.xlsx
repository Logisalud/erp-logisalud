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Jayo\Downloads\"/>
    </mc:Choice>
  </mc:AlternateContent>
  <xr:revisionPtr revIDLastSave="0" documentId="13_ncr:1_{244D8D35-2232-449F-BF72-D20D780092D1}" xr6:coauthVersionLast="47" xr6:coauthVersionMax="47" xr10:uidLastSave="{00000000-0000-0000-0000-000000000000}"/>
  <bookViews>
    <workbookView xWindow="-108" yWindow="-108" windowWidth="23256" windowHeight="12456" xr2:uid="{C80F3D21-7B3D-4B10-90F2-310B56AC6281}"/>
  </bookViews>
  <sheets>
    <sheet name="PRECIOS" sheetId="1" r:id="rId1"/>
    <sheet name="PROMOS" sheetId="2" r:id="rId2"/>
  </sheets>
  <externalReferences>
    <externalReference r:id="rId3"/>
  </externalReferences>
  <definedNames>
    <definedName name="_xlnm._FilterDatabase" localSheetId="0" hidden="1">PRECIOS!$A$1:$F$71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8" i="1"/>
  <c r="F9" i="1"/>
  <c r="F10" i="1"/>
  <c r="F12" i="1"/>
  <c r="F14" i="1"/>
  <c r="F15" i="1"/>
  <c r="F18" i="1"/>
  <c r="F19" i="1"/>
  <c r="F22" i="1"/>
  <c r="F24" i="1"/>
  <c r="F25" i="1"/>
  <c r="F29" i="1"/>
  <c r="F31" i="1"/>
  <c r="F32" i="1"/>
  <c r="F35" i="1"/>
  <c r="F37" i="1"/>
  <c r="F38" i="1"/>
  <c r="F41" i="1"/>
  <c r="F43" i="1"/>
  <c r="F45" i="1"/>
  <c r="F46" i="1"/>
  <c r="F49" i="1"/>
  <c r="F50" i="1"/>
  <c r="F52" i="1"/>
  <c r="F54" i="1"/>
  <c r="F56" i="1"/>
  <c r="F58" i="1"/>
  <c r="F60" i="1"/>
  <c r="F62" i="1"/>
  <c r="F64" i="1"/>
  <c r="F67" i="1"/>
  <c r="F69" i="1"/>
  <c r="F70" i="1"/>
  <c r="F3" i="1"/>
</calcChain>
</file>

<file path=xl/sharedStrings.xml><?xml version="1.0" encoding="utf-8"?>
<sst xmlns="http://schemas.openxmlformats.org/spreadsheetml/2006/main" count="500" uniqueCount="153">
  <si>
    <t>CODIGO INTERNO</t>
  </si>
  <si>
    <t>DESCRIPCIÓN</t>
  </si>
  <si>
    <t>TIPO DE AFECTACIÓN (IGV)</t>
  </si>
  <si>
    <t>CÓDIGO DE CATEGORÍA</t>
  </si>
  <si>
    <t>DESCRIPCIÓN DE CATEGORÍA</t>
  </si>
  <si>
    <t>BOJAM316</t>
  </si>
  <si>
    <t>APILTOX 2.5MG CJA X 28 TAB REC</t>
  </si>
  <si>
    <t>JAM316</t>
  </si>
  <si>
    <t>JAM317</t>
  </si>
  <si>
    <t>APILTOX 5MG CJA X 28 TAB REC</t>
  </si>
  <si>
    <t>BOJAM317</t>
  </si>
  <si>
    <t>BOJAM101</t>
  </si>
  <si>
    <t>CITROFLOW K 1080 MG CJA X 20 TAB</t>
  </si>
  <si>
    <t>BOJAM102</t>
  </si>
  <si>
    <t>CITROFLOW K 1080 MG CJA X 50 TAB</t>
  </si>
  <si>
    <t>JAM102</t>
  </si>
  <si>
    <t>JAM101</t>
  </si>
  <si>
    <t>CITROFLOW K 1080 MG X 20 TAB</t>
  </si>
  <si>
    <t>JAM204</t>
  </si>
  <si>
    <t>COX TOR 120MG CJA X 30 TAB REC</t>
  </si>
  <si>
    <t>BOJAM204</t>
  </si>
  <si>
    <t>JAM401</t>
  </si>
  <si>
    <t>DEPULOX 30MG CJA X 30 CAP</t>
  </si>
  <si>
    <t>BOJAM314</t>
  </si>
  <si>
    <t>EMPALIZ 25MG CJA X 28 TAB REC</t>
  </si>
  <si>
    <t>JAM314</t>
  </si>
  <si>
    <t>JAM107</t>
  </si>
  <si>
    <t>FENACINA  DUO 5MG CJA X 30 TAB REC</t>
  </si>
  <si>
    <t>BOJAM107</t>
  </si>
  <si>
    <t>BOJAM106</t>
  </si>
  <si>
    <t>FENACINA 5MG  CJA X 30 TAB REC</t>
  </si>
  <si>
    <t>JAM106</t>
  </si>
  <si>
    <t>JAM108</t>
  </si>
  <si>
    <t>FLAVOSEX 200MG CJA X 30 TAB REC</t>
  </si>
  <si>
    <t>BOJAM108</t>
  </si>
  <si>
    <t>BOJAM315</t>
  </si>
  <si>
    <t>FLOXIGA 10MG CJA X 28 TAB REC</t>
  </si>
  <si>
    <t>JAM315</t>
  </si>
  <si>
    <t>BOJAM301</t>
  </si>
  <si>
    <t>IRBECARD 150MG CJA X 30 TAB REC</t>
  </si>
  <si>
    <t>JAM301</t>
  </si>
  <si>
    <t>JAM205</t>
  </si>
  <si>
    <t>JAMSUPRAL  1G CJA X 100 TAB</t>
  </si>
  <si>
    <t>BOJAM205</t>
  </si>
  <si>
    <t>BOJAM401</t>
  </si>
  <si>
    <t>BOJAM402</t>
  </si>
  <si>
    <t>DEPULOX 60MG CJA X 30 CAP</t>
  </si>
  <si>
    <t>JAM402</t>
  </si>
  <si>
    <t>BOJAM403</t>
  </si>
  <si>
    <t>DONESTA 10MG CJA X 30 TAB REC</t>
  </si>
  <si>
    <t>JAM403</t>
  </si>
  <si>
    <t>JAM105</t>
  </si>
  <si>
    <t>DOXAZIN 4MG CJA X 30 TAB</t>
  </si>
  <si>
    <t>BOJAM105</t>
  </si>
  <si>
    <t>BOJAM313</t>
  </si>
  <si>
    <t>EMPALIZ 10MG CJA X 28 TAB REC</t>
  </si>
  <si>
    <t>JAM313</t>
  </si>
  <si>
    <t>BOJAM109</t>
  </si>
  <si>
    <t>LEVOFLOW 500MG CJA X 7 TAB REC</t>
  </si>
  <si>
    <t>JAM109</t>
  </si>
  <si>
    <t>JAM110</t>
  </si>
  <si>
    <t>LEVOFLOW 750MG CJA X 5 TAB REC</t>
  </si>
  <si>
    <t>BOJAM110</t>
  </si>
  <si>
    <t>BOJAM311</t>
  </si>
  <si>
    <t>LIXAVAN 15MG CJA X 10 TAB REC</t>
  </si>
  <si>
    <t>JAM311</t>
  </si>
  <si>
    <t>BOJAM312</t>
  </si>
  <si>
    <t>LIXAVAN 20MG CJA X 10 TAB REC</t>
  </si>
  <si>
    <t>JAM312</t>
  </si>
  <si>
    <t>BOJAM302</t>
  </si>
  <si>
    <t>OLMECARD 20MG CJA X 30 TAB REC</t>
  </si>
  <si>
    <t>JAM302</t>
  </si>
  <si>
    <t>JAM303</t>
  </si>
  <si>
    <t>OLMECARD 40MG CJA X 30 TAB REC</t>
  </si>
  <si>
    <t>BOJAM303</t>
  </si>
  <si>
    <t>BOJAM304</t>
  </si>
  <si>
    <t>OLMECARD H 40MG + 12.5MG CJA X 30 TAB REC</t>
  </si>
  <si>
    <t>JAM304</t>
  </si>
  <si>
    <t>JAM305</t>
  </si>
  <si>
    <t>OLMECARD H 40MG + 25 MG CJA X 30 TAB REC</t>
  </si>
  <si>
    <t>BOJAM305</t>
  </si>
  <si>
    <t>JAM104</t>
  </si>
  <si>
    <t>ORIFLOW 0.4MG CJA X 30 CAP</t>
  </si>
  <si>
    <t>BOJAM104</t>
  </si>
  <si>
    <t>JAM103</t>
  </si>
  <si>
    <t>ORIFLOW DUO PRO 0.5MG + 0.4 MG CJA X 30 CAP</t>
  </si>
  <si>
    <t>BOJAM103</t>
  </si>
  <si>
    <t>JAM309</t>
  </si>
  <si>
    <t>ROSTATIN 10MG CJA X 30 TAB REC</t>
  </si>
  <si>
    <t>BOJAM309</t>
  </si>
  <si>
    <t>JAM310</t>
  </si>
  <si>
    <t>ROSTATIN 20MG CJA X 30 TAB REC</t>
  </si>
  <si>
    <t>BOJAM310</t>
  </si>
  <si>
    <t>JAM306</t>
  </si>
  <si>
    <t>TELCAR 40MG CJA X 30 TAB REC</t>
  </si>
  <si>
    <t>BOJAM306</t>
  </si>
  <si>
    <t>JAM307</t>
  </si>
  <si>
    <t>TELCAR 80MG CJA X 30 TAB REC</t>
  </si>
  <si>
    <t>BOJAM307</t>
  </si>
  <si>
    <t>JAM308</t>
  </si>
  <si>
    <t>TELCARD H 80MG + 12.5MG CJA X 30 TAB REC</t>
  </si>
  <si>
    <t>BOJAM308</t>
  </si>
  <si>
    <t>BOJAM203</t>
  </si>
  <si>
    <t>TENSOFLOW 10MG CJA X 30 TAB REC</t>
  </si>
  <si>
    <t>JAM203</t>
  </si>
  <si>
    <t>BOJAM202</t>
  </si>
  <si>
    <t>JAM202</t>
  </si>
  <si>
    <t>JAM201</t>
  </si>
  <si>
    <t>TENSOFLOW 5MG CJA X 30 TAB REC</t>
  </si>
  <si>
    <t>BOJAM201</t>
  </si>
  <si>
    <t>10</t>
  </si>
  <si>
    <t>JAM</t>
  </si>
  <si>
    <t>JAM - PHARMA</t>
  </si>
  <si>
    <t>PRECIO CON IGV</t>
  </si>
  <si>
    <t>BONIFICACION</t>
  </si>
  <si>
    <t>CÓDIGO LOGISALUD</t>
  </si>
  <si>
    <t>CÓDIGO BONIFICACIÓN</t>
  </si>
  <si>
    <t>PRODUCTO</t>
  </si>
  <si>
    <t>CITROFLOW K 1080 MG</t>
  </si>
  <si>
    <t>ORIFLOW DUO PRO 0.5MG + 0.4 MG</t>
  </si>
  <si>
    <t>ORIFLOW 0.4MG</t>
  </si>
  <si>
    <t xml:space="preserve">DOXAZIN 4MG </t>
  </si>
  <si>
    <t xml:space="preserve">FENACINA 5MG </t>
  </si>
  <si>
    <t xml:space="preserve">FENACINA  DUO 5MG </t>
  </si>
  <si>
    <t>FLAVOSEX 200MG</t>
  </si>
  <si>
    <t xml:space="preserve">LEVOFLOW 500MG </t>
  </si>
  <si>
    <t>LEVOFLOW 750MG</t>
  </si>
  <si>
    <t xml:space="preserve">TENSOFLOW 5MG </t>
  </si>
  <si>
    <t xml:space="preserve">TENSOFLOW 10MG </t>
  </si>
  <si>
    <t xml:space="preserve">TENSOFLOW  15MG </t>
  </si>
  <si>
    <t>COX TOR 120MG</t>
  </si>
  <si>
    <t>JAMSUPRAL  1G</t>
  </si>
  <si>
    <t xml:space="preserve">IRBECARD 150MG </t>
  </si>
  <si>
    <t xml:space="preserve">OLMECARD 20MG </t>
  </si>
  <si>
    <t xml:space="preserve">OLMECARD 40MG </t>
  </si>
  <si>
    <t xml:space="preserve">OLMECARD H 40MG + 12.5MG </t>
  </si>
  <si>
    <t xml:space="preserve">OLMECARD H 40MG + 25 MG </t>
  </si>
  <si>
    <t xml:space="preserve">TELCAR 40MG </t>
  </si>
  <si>
    <t xml:space="preserve">TELCAR 80MG </t>
  </si>
  <si>
    <t xml:space="preserve">TELCARD H 80MG + 12.5MG </t>
  </si>
  <si>
    <t xml:space="preserve">ROSTATIN 10MG </t>
  </si>
  <si>
    <t xml:space="preserve">ROSTATIN 20MG </t>
  </si>
  <si>
    <t>LIXAVAN 15MG</t>
  </si>
  <si>
    <t xml:space="preserve">LIXAVAN 20MG </t>
  </si>
  <si>
    <t xml:space="preserve">EMPALIZ 10MG </t>
  </si>
  <si>
    <t xml:space="preserve">EMPALIZ 25MG </t>
  </si>
  <si>
    <t xml:space="preserve">FLOXIGA 10MG </t>
  </si>
  <si>
    <t xml:space="preserve">APILTOX 2.5MG </t>
  </si>
  <si>
    <t>APILTOX 5MG</t>
  </si>
  <si>
    <t xml:space="preserve">DEPULOX 30MG </t>
  </si>
  <si>
    <t>DEPULOX 60MG</t>
  </si>
  <si>
    <t xml:space="preserve">DONESTA 10MG </t>
  </si>
  <si>
    <t>VENTA BONIFICADA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</si>
</sst>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Arial"/>
      <family val="1"/>
    </font>
    <font>
      <b/>
      <sz val="8.5"/>
      <color rgb="FFFFFFFF"/>
      <name val="Arial Narrow"/>
      <family val="2"/>
    </font>
    <font>
      <sz val="9"/>
      <color rgb="FF002060"/>
      <name val="Montserrat"/>
    </font>
    <font>
      <sz val="9"/>
      <color theme="3"/>
      <name val="Montserrat"/>
    </font>
    <font>
      <b/>
      <sz val="9"/>
      <color rgb="FF002060"/>
      <name val="Montserrat"/>
    </font>
    <font>
      <b/>
      <sz val="9"/>
      <color theme="3"/>
      <name val="Montserrat"/>
    </font>
    <font>
      <b/>
      <sz val="8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1E4E79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rgb="FF002060"/>
      </top>
      <bottom style="medium">
        <color theme="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medium">
        <color theme="0"/>
      </left>
      <right/>
      <top style="medium">
        <color rgb="FF002060"/>
      </top>
      <bottom style="medium">
        <color theme="0"/>
      </bottom>
      <diagonal/>
    </border>
    <border>
      <left style="thin">
        <color rgb="FF002060"/>
      </left>
      <right/>
      <top style="thin">
        <color rgb="FF002060"/>
      </top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center" vertical="center" wrapText="1"/>
    </xf>
    <xf numFmtId="3" fontId="6" fillId="4" borderId="9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geJayo\Downloads\LISTA%20DE%20PRECIOS%20JAMPHARMA%20LOGISALUD%20-%20SETIEMBRE%202026%20(2).xlsx" TargetMode="External"/><Relationship Id="rId1" Type="http://schemas.openxmlformats.org/officeDocument/2006/relationships/externalLinkPath" Target="LISTA%20DE%20PRECIOS%20JAMPHARMA%20LOGISALUD%20-%20SETIEMBRE%2020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PARA FFVV"/>
      <sheetName val="PARA OC LOGISALUD"/>
    </sheetNames>
    <sheetDataSet>
      <sheetData sheetId="0"/>
      <sheetData sheetId="1">
        <row r="6">
          <cell r="C6" t="str">
            <v>CÓDIGO LOGISALUD</v>
          </cell>
          <cell r="D6" t="str">
            <v>CÓDIGO BONIFICACIÓN</v>
          </cell>
          <cell r="E6" t="str">
            <v>OBS.</v>
          </cell>
          <cell r="F6" t="str">
            <v>MASTER PACK</v>
          </cell>
          <cell r="G6" t="str">
            <v>RESOLUCIÓN</v>
          </cell>
          <cell r="H6" t="str">
            <v>PRODUCTO</v>
          </cell>
          <cell r="I6" t="str">
            <v>PRINCIPIO ACTIVO</v>
          </cell>
          <cell r="J6" t="str">
            <v xml:space="preserve">PRESENTACIÓN </v>
          </cell>
          <cell r="L6" t="str">
            <v>PRECIO KAIROS</v>
          </cell>
          <cell r="M6" t="str">
            <v>VVF (Sin IGV)</v>
          </cell>
          <cell r="N6" t="str">
            <v>VVD (SIN IGV)</v>
          </cell>
          <cell r="O6" t="str">
            <v>IGV (18%)</v>
          </cell>
          <cell r="P6" t="str">
            <v>FECHA VENCIMIENTO</v>
          </cell>
          <cell r="Q6" t="str">
            <v>PVF A DISTRIBUIDORA SET 2026</v>
          </cell>
          <cell r="R6" t="str">
            <v>PRECIO CON IGV</v>
          </cell>
        </row>
        <row r="8">
          <cell r="C8" t="str">
            <v>JAM101</v>
          </cell>
          <cell r="D8" t="str">
            <v>BOJAM101</v>
          </cell>
          <cell r="E8">
            <v>4</v>
          </cell>
          <cell r="H8" t="str">
            <v>CITROFLOW K 1080 MG</v>
          </cell>
          <cell r="I8" t="str">
            <v>CITRATO DE POTASIO 1080MG</v>
          </cell>
          <cell r="J8" t="str">
            <v xml:space="preserve">Caja x 20 Tabletas </v>
          </cell>
          <cell r="K8" t="str">
            <v>TABLETA</v>
          </cell>
          <cell r="M8">
            <v>32.627118644067799</v>
          </cell>
          <cell r="N8">
            <v>25.449152542372886</v>
          </cell>
          <cell r="O8">
            <v>4.5808474576271196</v>
          </cell>
          <cell r="Q8">
            <v>30.030000000000005</v>
          </cell>
          <cell r="R8">
            <v>38.5</v>
          </cell>
        </row>
        <row r="9">
          <cell r="C9" t="str">
            <v>JAM102</v>
          </cell>
          <cell r="D9" t="str">
            <v>BOJAM102</v>
          </cell>
          <cell r="E9">
            <v>3</v>
          </cell>
          <cell r="F9">
            <v>72</v>
          </cell>
          <cell r="H9" t="str">
            <v>CITROFLOW K 1080 MG</v>
          </cell>
          <cell r="I9" t="str">
            <v>CITRATO DE POTASIO 1080MG</v>
          </cell>
          <cell r="J9" t="str">
            <v>Caja x 50 Tabletas</v>
          </cell>
          <cell r="K9" t="str">
            <v>TABLETA</v>
          </cell>
          <cell r="M9">
            <v>81.355932203389841</v>
          </cell>
          <cell r="N9">
            <v>63.457627118644076</v>
          </cell>
          <cell r="O9">
            <v>11.422372881355933</v>
          </cell>
          <cell r="Q9">
            <v>74.88000000000001</v>
          </cell>
          <cell r="R9">
            <v>96</v>
          </cell>
        </row>
        <row r="10">
          <cell r="C10" t="str">
            <v>JAM103</v>
          </cell>
          <cell r="D10" t="str">
            <v>BOJAM103</v>
          </cell>
          <cell r="F10">
            <v>172</v>
          </cell>
          <cell r="H10" t="str">
            <v>ORIFLOW DUO PRO 0.5MG + 0.4 MG</v>
          </cell>
          <cell r="I10" t="str">
            <v>DUTASTARIDA 0.5MG + TAMSULOSINA 0.4MG</v>
          </cell>
          <cell r="J10" t="str">
            <v>Caja x 30 Capsulas</v>
          </cell>
          <cell r="K10" t="str">
            <v>CAPSULA</v>
          </cell>
          <cell r="M10">
            <v>155.93220338983051</v>
          </cell>
          <cell r="N10">
            <v>121.62711864406779</v>
          </cell>
          <cell r="O10">
            <v>21.8928813559322</v>
          </cell>
          <cell r="Q10">
            <v>143.51999999999998</v>
          </cell>
          <cell r="R10">
            <v>184</v>
          </cell>
        </row>
        <row r="11">
          <cell r="C11" t="str">
            <v>JAM104</v>
          </cell>
          <cell r="D11" t="str">
            <v>BOJAM104</v>
          </cell>
          <cell r="F11">
            <v>184</v>
          </cell>
          <cell r="H11" t="str">
            <v>ORIFLOW 0.4MG</v>
          </cell>
          <cell r="I11" t="str">
            <v>TAMSULOSINA 0.4MG</v>
          </cell>
          <cell r="J11" t="str">
            <v>Caja x 30 Cápsulas</v>
          </cell>
          <cell r="K11" t="str">
            <v>CAPSULA</v>
          </cell>
          <cell r="M11">
            <v>66.101694915254242</v>
          </cell>
          <cell r="N11">
            <v>51.559322033898312</v>
          </cell>
          <cell r="O11">
            <v>9.2806779661016954</v>
          </cell>
          <cell r="P11">
            <v>47452</v>
          </cell>
          <cell r="Q11">
            <v>60.84</v>
          </cell>
          <cell r="R11">
            <v>78</v>
          </cell>
        </row>
        <row r="12">
          <cell r="C12" t="str">
            <v>JAM105</v>
          </cell>
          <cell r="D12" t="str">
            <v>BOJAM105</v>
          </cell>
          <cell r="F12">
            <v>768</v>
          </cell>
          <cell r="H12" t="str">
            <v xml:space="preserve">DOXAZIN 4MG </v>
          </cell>
          <cell r="I12" t="str">
            <v>DOXAZOSINA 4MG</v>
          </cell>
          <cell r="J12" t="str">
            <v>Caja x 30 Tabletas</v>
          </cell>
          <cell r="K12" t="str">
            <v>TAB. REC.</v>
          </cell>
          <cell r="M12">
            <v>128.81355932203391</v>
          </cell>
          <cell r="N12">
            <v>100.47457627118645</v>
          </cell>
          <cell r="O12">
            <v>18.085423728813559</v>
          </cell>
          <cell r="P12">
            <v>46599</v>
          </cell>
          <cell r="Q12">
            <v>118.56</v>
          </cell>
          <cell r="R12">
            <v>152</v>
          </cell>
        </row>
        <row r="13">
          <cell r="C13" t="str">
            <v>JAM106</v>
          </cell>
          <cell r="D13" t="str">
            <v>BOJAM106</v>
          </cell>
          <cell r="F13">
            <v>672</v>
          </cell>
          <cell r="H13" t="str">
            <v xml:space="preserve">FENACINA 5MG </v>
          </cell>
          <cell r="I13" t="str">
            <v>SOLIFENACINA 5MG</v>
          </cell>
          <cell r="J13" t="str">
            <v xml:space="preserve">Caja x 30 Tabletas </v>
          </cell>
          <cell r="K13" t="str">
            <v>TAB. REC.</v>
          </cell>
          <cell r="M13">
            <v>126.27118644067798</v>
          </cell>
          <cell r="N13">
            <v>98.491525423728831</v>
          </cell>
          <cell r="O13">
            <v>17.728474576271189</v>
          </cell>
          <cell r="P13">
            <v>46691</v>
          </cell>
          <cell r="Q13">
            <v>116.22000000000003</v>
          </cell>
          <cell r="R13">
            <v>149</v>
          </cell>
        </row>
        <row r="14">
          <cell r="C14" t="str">
            <v>JAM107</v>
          </cell>
          <cell r="D14" t="str">
            <v>BOJAM107</v>
          </cell>
          <cell r="F14">
            <v>200</v>
          </cell>
          <cell r="H14" t="str">
            <v xml:space="preserve">FENACINA  DUO 5MG </v>
          </cell>
          <cell r="I14" t="str">
            <v>TAMSULOSINA 30MG + SOLIFENACINA 6MG</v>
          </cell>
          <cell r="J14" t="str">
            <v xml:space="preserve">Caja x 30 Tabletas </v>
          </cell>
          <cell r="K14" t="str">
            <v>TAB. REC.</v>
          </cell>
          <cell r="M14">
            <v>168.81355932203391</v>
          </cell>
          <cell r="N14">
            <v>131.67457627118645</v>
          </cell>
          <cell r="O14">
            <v>23.701423728813559</v>
          </cell>
          <cell r="P14">
            <v>46783</v>
          </cell>
          <cell r="Q14">
            <v>155.376</v>
          </cell>
          <cell r="R14">
            <v>199.2</v>
          </cell>
        </row>
        <row r="15">
          <cell r="C15" t="str">
            <v>JAM108</v>
          </cell>
          <cell r="D15" t="str">
            <v>BOJAM108</v>
          </cell>
          <cell r="F15">
            <v>240</v>
          </cell>
          <cell r="H15" t="str">
            <v>FLAVOSEX 200MG</v>
          </cell>
          <cell r="I15" t="str">
            <v>CLORH. DE FLAVOXATO 200MG</v>
          </cell>
          <cell r="J15" t="str">
            <v>Caja x 30 Tabletas</v>
          </cell>
          <cell r="K15" t="str">
            <v>TAB. REC.</v>
          </cell>
          <cell r="M15">
            <v>64.406779661016955</v>
          </cell>
          <cell r="N15">
            <v>50.237288135593225</v>
          </cell>
          <cell r="O15">
            <v>9.0427118644067797</v>
          </cell>
          <cell r="Q15">
            <v>59.28</v>
          </cell>
          <cell r="R15">
            <v>76</v>
          </cell>
        </row>
        <row r="16">
          <cell r="C16" t="str">
            <v>JAM109</v>
          </cell>
          <cell r="D16" t="str">
            <v>BOJAM109</v>
          </cell>
          <cell r="F16">
            <v>160</v>
          </cell>
          <cell r="H16" t="str">
            <v xml:space="preserve">LEVOFLOW 500MG </v>
          </cell>
          <cell r="I16" t="str">
            <v>LEVOFLOXACINO 500MG</v>
          </cell>
          <cell r="J16" t="str">
            <v xml:space="preserve">Caja x 7 Tabletas </v>
          </cell>
          <cell r="K16" t="str">
            <v>TAB. REC.</v>
          </cell>
          <cell r="M16">
            <v>32.118644067796609</v>
          </cell>
          <cell r="N16">
            <v>25.052542372881355</v>
          </cell>
          <cell r="O16">
            <v>4.5094576271186435</v>
          </cell>
          <cell r="P16">
            <v>47483</v>
          </cell>
          <cell r="Q16">
            <v>29.561999999999998</v>
          </cell>
          <cell r="R16">
            <v>37.9</v>
          </cell>
        </row>
        <row r="17">
          <cell r="C17" t="str">
            <v>JAM110</v>
          </cell>
          <cell r="D17" t="str">
            <v>BOJAM110</v>
          </cell>
          <cell r="F17">
            <v>225</v>
          </cell>
          <cell r="H17" t="str">
            <v>LEVOFLOW 750MG</v>
          </cell>
          <cell r="I17" t="str">
            <v xml:space="preserve">LEVOFLOXACINO 750MG </v>
          </cell>
          <cell r="J17" t="str">
            <v xml:space="preserve">Caja x 5 Tabletas </v>
          </cell>
          <cell r="K17" t="str">
            <v>TAB. REC.</v>
          </cell>
          <cell r="M17">
            <v>35.29661016949153</v>
          </cell>
          <cell r="N17">
            <v>27.531355932203393</v>
          </cell>
          <cell r="O17">
            <v>4.9556440677966105</v>
          </cell>
          <cell r="P17">
            <v>47269</v>
          </cell>
          <cell r="Q17">
            <v>32.487000000000002</v>
          </cell>
          <cell r="R17">
            <v>41.65</v>
          </cell>
        </row>
        <row r="19">
          <cell r="C19" t="str">
            <v>JAM201</v>
          </cell>
          <cell r="D19" t="str">
            <v>BOJAM201</v>
          </cell>
          <cell r="F19">
            <v>768</v>
          </cell>
          <cell r="H19" t="str">
            <v xml:space="preserve">TENSOFLOW 5MG </v>
          </cell>
          <cell r="I19" t="str">
            <v>CLORH. DE CICLOBENZAPRINA 5MG</v>
          </cell>
          <cell r="J19" t="str">
            <v xml:space="preserve">Caja x 30 Tabletas </v>
          </cell>
          <cell r="K19" t="str">
            <v>TAB. REC.</v>
          </cell>
          <cell r="M19">
            <v>67.711864406779668</v>
          </cell>
          <cell r="N19">
            <v>52.815254237288144</v>
          </cell>
          <cell r="O19">
            <v>9.5067457627118657</v>
          </cell>
          <cell r="P19">
            <v>46599</v>
          </cell>
          <cell r="Q19">
            <v>62.32200000000001</v>
          </cell>
          <cell r="R19">
            <v>79.900000000000006</v>
          </cell>
        </row>
        <row r="20">
          <cell r="C20" t="str">
            <v>JAM202</v>
          </cell>
          <cell r="D20" t="str">
            <v>BOJAM202</v>
          </cell>
          <cell r="F20">
            <v>360</v>
          </cell>
          <cell r="H20" t="str">
            <v xml:space="preserve">TENSOFLOW 10MG </v>
          </cell>
          <cell r="I20" t="str">
            <v>CLORH. DE CICLOBENZAPRINA 10MG</v>
          </cell>
          <cell r="J20" t="str">
            <v>Caja x 30 Tabletas</v>
          </cell>
          <cell r="K20" t="str">
            <v>TAB. REC.</v>
          </cell>
          <cell r="M20">
            <v>72.033898305084747</v>
          </cell>
          <cell r="N20">
            <v>56.186440677966104</v>
          </cell>
          <cell r="O20">
            <v>10.113559322033899</v>
          </cell>
          <cell r="P20">
            <v>46965</v>
          </cell>
          <cell r="Q20">
            <v>66.3</v>
          </cell>
          <cell r="R20">
            <v>85</v>
          </cell>
        </row>
        <row r="21">
          <cell r="C21" t="str">
            <v>JAM203</v>
          </cell>
          <cell r="D21" t="str">
            <v>BOJAM203</v>
          </cell>
          <cell r="F21">
            <v>240</v>
          </cell>
          <cell r="H21" t="str">
            <v xml:space="preserve">TENSOFLOW  15MG </v>
          </cell>
          <cell r="I21" t="str">
            <v>CLORH. DE CICLOBENZAPRINA 15MG</v>
          </cell>
          <cell r="J21" t="str">
            <v>Caja x 30 Capsulas</v>
          </cell>
          <cell r="K21" t="str">
            <v>CAPSULA</v>
          </cell>
          <cell r="M21">
            <v>64.406779661016955</v>
          </cell>
          <cell r="N21">
            <v>50.237288135593225</v>
          </cell>
          <cell r="O21">
            <v>9.0427118644067797</v>
          </cell>
          <cell r="P21">
            <v>46783</v>
          </cell>
          <cell r="Q21">
            <v>59.28</v>
          </cell>
          <cell r="R21">
            <v>76</v>
          </cell>
        </row>
        <row r="22">
          <cell r="C22" t="str">
            <v>JAM204</v>
          </cell>
          <cell r="D22" t="str">
            <v>BOJAM204</v>
          </cell>
          <cell r="H22" t="str">
            <v>COX TOR 120MG</v>
          </cell>
          <cell r="I22" t="str">
            <v>ETORICOXIB 120MG</v>
          </cell>
          <cell r="J22" t="str">
            <v>Caja x 30 Tabletas</v>
          </cell>
          <cell r="K22" t="str">
            <v>TAB. REC.</v>
          </cell>
          <cell r="M22">
            <v>50.677966101694913</v>
          </cell>
          <cell r="N22">
            <v>39.528813559322032</v>
          </cell>
          <cell r="O22">
            <v>7.1151864406779657</v>
          </cell>
          <cell r="P22">
            <v>46568</v>
          </cell>
          <cell r="Q22">
            <v>46.643999999999998</v>
          </cell>
          <cell r="R22">
            <v>59.8</v>
          </cell>
        </row>
        <row r="23">
          <cell r="C23" t="str">
            <v>JAM205</v>
          </cell>
          <cell r="D23" t="str">
            <v>BOJAM205</v>
          </cell>
          <cell r="H23" t="str">
            <v>JAMSUPRAL  1G</v>
          </cell>
          <cell r="I23" t="str">
            <v>PARACETAMOL 1G</v>
          </cell>
          <cell r="J23" t="str">
            <v>Caja x 100 Tabletas</v>
          </cell>
          <cell r="K23" t="str">
            <v>TABLETA</v>
          </cell>
          <cell r="M23">
            <v>16.864406779661017</v>
          </cell>
          <cell r="N23">
            <v>13.154237288135594</v>
          </cell>
          <cell r="O23">
            <v>2.3677627118644069</v>
          </cell>
          <cell r="P23">
            <v>46538</v>
          </cell>
          <cell r="Q23">
            <v>15.522</v>
          </cell>
          <cell r="R23">
            <v>19.899999999999999</v>
          </cell>
        </row>
        <row r="25">
          <cell r="C25" t="str">
            <v>JAM301</v>
          </cell>
          <cell r="D25" t="str">
            <v>BOJAM301</v>
          </cell>
          <cell r="E25">
            <v>2</v>
          </cell>
          <cell r="F25">
            <v>180</v>
          </cell>
          <cell r="H25" t="str">
            <v xml:space="preserve">IRBECARD 150MG </v>
          </cell>
          <cell r="I25" t="str">
            <v>IRBESARTAN 150MG</v>
          </cell>
          <cell r="J25" t="str">
            <v>Caja x 30 Tabletas</v>
          </cell>
          <cell r="K25" t="str">
            <v>TAB. REC.</v>
          </cell>
          <cell r="M25">
            <v>22.881355932203391</v>
          </cell>
          <cell r="N25">
            <v>17.847457627118647</v>
          </cell>
          <cell r="O25">
            <v>3.2125423728813565</v>
          </cell>
          <cell r="P25">
            <v>46538</v>
          </cell>
          <cell r="Q25">
            <v>21.060000000000002</v>
          </cell>
          <cell r="R25">
            <v>27</v>
          </cell>
        </row>
        <row r="26">
          <cell r="C26" t="str">
            <v>JAM302</v>
          </cell>
          <cell r="D26" t="str">
            <v>BOJAM302</v>
          </cell>
          <cell r="E26">
            <v>2</v>
          </cell>
          <cell r="F26">
            <v>48</v>
          </cell>
          <cell r="H26" t="str">
            <v xml:space="preserve">OLMECARD 20MG </v>
          </cell>
          <cell r="I26" t="str">
            <v>OLMESARTAN 20MG</v>
          </cell>
          <cell r="J26" t="str">
            <v>Caja x 30 Tabletas</v>
          </cell>
          <cell r="K26" t="str">
            <v>TAB. REC.</v>
          </cell>
          <cell r="M26">
            <v>57.627118644067799</v>
          </cell>
          <cell r="N26">
            <v>44.949152542372886</v>
          </cell>
          <cell r="O26">
            <v>8.0908474576271185</v>
          </cell>
          <cell r="P26">
            <v>46691</v>
          </cell>
          <cell r="Q26">
            <v>53.040000000000006</v>
          </cell>
          <cell r="R26">
            <v>68</v>
          </cell>
        </row>
        <row r="27">
          <cell r="C27" t="str">
            <v>JAM303</v>
          </cell>
          <cell r="D27" t="str">
            <v>BOJAM303</v>
          </cell>
          <cell r="E27">
            <v>2</v>
          </cell>
          <cell r="F27">
            <v>36</v>
          </cell>
          <cell r="H27" t="str">
            <v xml:space="preserve">OLMECARD 40MG </v>
          </cell>
          <cell r="I27" t="str">
            <v>OLMESARTAN 40MG</v>
          </cell>
          <cell r="J27" t="str">
            <v>Caja x  30 Tabletas</v>
          </cell>
          <cell r="K27" t="str">
            <v>TAB. REC.</v>
          </cell>
          <cell r="M27">
            <v>83.050847457627128</v>
          </cell>
          <cell r="N27">
            <v>64.779661016949163</v>
          </cell>
          <cell r="O27">
            <v>11.660338983050849</v>
          </cell>
          <cell r="P27" t="str">
            <v>31/11/27</v>
          </cell>
          <cell r="Q27">
            <v>76.440000000000012</v>
          </cell>
          <cell r="R27">
            <v>98</v>
          </cell>
        </row>
        <row r="28">
          <cell r="C28" t="str">
            <v>JAM304</v>
          </cell>
          <cell r="D28" t="str">
            <v>BOJAM304</v>
          </cell>
          <cell r="E28">
            <v>2</v>
          </cell>
          <cell r="F28">
            <v>48</v>
          </cell>
          <cell r="H28" t="str">
            <v xml:space="preserve">OLMECARD H 40MG + 12.5MG </v>
          </cell>
          <cell r="I28" t="str">
            <v>OLMESARTAN 40 MG+ HCTZ 12.5MG</v>
          </cell>
          <cell r="J28" t="str">
            <v>Caja x  30 Tabletas</v>
          </cell>
          <cell r="K28" t="str">
            <v>TAB. REC.</v>
          </cell>
          <cell r="M28">
            <v>113.55932203389831</v>
          </cell>
          <cell r="N28">
            <v>88.576271186440692</v>
          </cell>
          <cell r="O28">
            <v>15.943728813559325</v>
          </cell>
          <cell r="P28">
            <v>46691</v>
          </cell>
          <cell r="Q28">
            <v>104.52000000000001</v>
          </cell>
          <cell r="R28">
            <v>134</v>
          </cell>
        </row>
        <row r="29">
          <cell r="C29" t="str">
            <v>JAM305</v>
          </cell>
          <cell r="D29" t="str">
            <v>BOJAM305</v>
          </cell>
          <cell r="E29">
            <v>2</v>
          </cell>
          <cell r="F29">
            <v>28</v>
          </cell>
          <cell r="H29" t="str">
            <v xml:space="preserve">OLMECARD H 40MG + 25 MG </v>
          </cell>
          <cell r="I29" t="str">
            <v>OLMESARTAN 40MG + HCTZ 25MG</v>
          </cell>
          <cell r="J29" t="str">
            <v>Caja x  30 Tabletas</v>
          </cell>
          <cell r="K29" t="str">
            <v>TAB. REC.</v>
          </cell>
          <cell r="M29">
            <v>116.94915254237289</v>
          </cell>
          <cell r="N29">
            <v>91.220338983050851</v>
          </cell>
          <cell r="O29">
            <v>16.419661016949153</v>
          </cell>
          <cell r="Q29">
            <v>107.64</v>
          </cell>
          <cell r="R29">
            <v>138</v>
          </cell>
        </row>
        <row r="30">
          <cell r="C30" t="str">
            <v>JAM306</v>
          </cell>
          <cell r="D30" t="str">
            <v>BOJAM306</v>
          </cell>
          <cell r="E30">
            <v>2</v>
          </cell>
          <cell r="F30">
            <v>48</v>
          </cell>
          <cell r="H30" t="str">
            <v xml:space="preserve">TELCAR 40MG </v>
          </cell>
          <cell r="I30" t="str">
            <v>TELMISARTAN 40MG</v>
          </cell>
          <cell r="J30" t="str">
            <v>Caja x  30 Tabletas</v>
          </cell>
          <cell r="K30" t="str">
            <v>TAB. REC.</v>
          </cell>
          <cell r="M30">
            <v>38.983050847457626</v>
          </cell>
          <cell r="N30">
            <v>30.406779661016948</v>
          </cell>
          <cell r="O30">
            <v>5.47322033898305</v>
          </cell>
          <cell r="P30">
            <v>46568</v>
          </cell>
          <cell r="Q30">
            <v>35.879999999999995</v>
          </cell>
          <cell r="R30">
            <v>46</v>
          </cell>
        </row>
        <row r="31">
          <cell r="C31" t="str">
            <v>JAM307</v>
          </cell>
          <cell r="D31" t="str">
            <v>BOJAM307</v>
          </cell>
          <cell r="E31">
            <v>1</v>
          </cell>
          <cell r="F31">
            <v>36</v>
          </cell>
          <cell r="H31" t="str">
            <v xml:space="preserve">TELCAR 80MG </v>
          </cell>
          <cell r="I31" t="str">
            <v>TELMISARTAN 80MG</v>
          </cell>
          <cell r="J31" t="str">
            <v>Caja x  30 Tabletas</v>
          </cell>
          <cell r="K31" t="str">
            <v>TAB. REC.</v>
          </cell>
          <cell r="M31">
            <v>57.627118644067799</v>
          </cell>
          <cell r="N31">
            <v>44.949152542372886</v>
          </cell>
          <cell r="O31">
            <v>8.0908474576271185</v>
          </cell>
          <cell r="P31">
            <v>46599</v>
          </cell>
          <cell r="Q31">
            <v>53.040000000000006</v>
          </cell>
          <cell r="R31">
            <v>68</v>
          </cell>
        </row>
        <row r="32">
          <cell r="C32" t="str">
            <v>JAM308</v>
          </cell>
          <cell r="D32" t="str">
            <v>BOJAM308</v>
          </cell>
          <cell r="F32">
            <v>28</v>
          </cell>
          <cell r="H32" t="str">
            <v xml:space="preserve">TELCARD H 80MG + 12.5MG </v>
          </cell>
          <cell r="I32" t="str">
            <v>TELMISARTAN 80MG + HCTZ 12.5MG</v>
          </cell>
          <cell r="J32" t="str">
            <v>Caja x  30 Tabletas</v>
          </cell>
          <cell r="K32" t="str">
            <v>TAB. REC.</v>
          </cell>
          <cell r="M32">
            <v>116.94915254237289</v>
          </cell>
          <cell r="N32">
            <v>91.220338983050851</v>
          </cell>
          <cell r="O32">
            <v>16.419661016949153</v>
          </cell>
          <cell r="P32">
            <v>46691</v>
          </cell>
          <cell r="Q32">
            <v>107.64</v>
          </cell>
          <cell r="R32">
            <v>138</v>
          </cell>
        </row>
        <row r="33">
          <cell r="C33" t="str">
            <v>JAM309</v>
          </cell>
          <cell r="D33" t="str">
            <v>BOJAM309</v>
          </cell>
          <cell r="F33">
            <v>99</v>
          </cell>
          <cell r="H33" t="str">
            <v xml:space="preserve">ROSTATIN 10MG </v>
          </cell>
          <cell r="I33" t="str">
            <v>ROSUVASTATINA 10MG</v>
          </cell>
          <cell r="J33" t="str">
            <v>Caja x  30 Tabletas</v>
          </cell>
          <cell r="K33" t="str">
            <v>TAB. REC.</v>
          </cell>
          <cell r="M33">
            <v>33.050847457627121</v>
          </cell>
          <cell r="N33">
            <v>25.779661016949156</v>
          </cell>
          <cell r="O33">
            <v>4.6403389830508477</v>
          </cell>
          <cell r="P33">
            <v>46721</v>
          </cell>
          <cell r="Q33">
            <v>30.42</v>
          </cell>
          <cell r="R33">
            <v>39</v>
          </cell>
        </row>
        <row r="34">
          <cell r="C34" t="str">
            <v>JAM310</v>
          </cell>
          <cell r="D34" t="str">
            <v>BOJAM310</v>
          </cell>
          <cell r="F34">
            <v>96</v>
          </cell>
          <cell r="H34" t="str">
            <v xml:space="preserve">ROSTATIN 20MG </v>
          </cell>
          <cell r="I34" t="str">
            <v xml:space="preserve">ROSUVASTATINA 20MG </v>
          </cell>
          <cell r="J34" t="str">
            <v>Caja x  30 Tabletas</v>
          </cell>
          <cell r="K34" t="str">
            <v>TAB. REC.</v>
          </cell>
          <cell r="M34">
            <v>50</v>
          </cell>
          <cell r="N34">
            <v>39</v>
          </cell>
          <cell r="O34">
            <v>7.02</v>
          </cell>
          <cell r="P34">
            <v>46782</v>
          </cell>
          <cell r="Q34">
            <v>46.019999999999996</v>
          </cell>
          <cell r="R34">
            <v>59</v>
          </cell>
        </row>
        <row r="35">
          <cell r="C35" t="str">
            <v>JAM311</v>
          </cell>
          <cell r="D35" t="str">
            <v>BOJAM311</v>
          </cell>
          <cell r="E35">
            <v>2</v>
          </cell>
          <cell r="F35">
            <v>540</v>
          </cell>
          <cell r="H35" t="str">
            <v>LIXAVAN 15MG</v>
          </cell>
          <cell r="I35" t="str">
            <v>RIVAROXABAN 15MG</v>
          </cell>
          <cell r="J35" t="str">
            <v>Caja x  10 Tabletas</v>
          </cell>
          <cell r="K35" t="str">
            <v>TAB. REC.</v>
          </cell>
          <cell r="M35">
            <v>32.203389830508478</v>
          </cell>
          <cell r="N35">
            <v>25.118644067796613</v>
          </cell>
          <cell r="O35">
            <v>4.5213559322033898</v>
          </cell>
          <cell r="P35">
            <v>46783</v>
          </cell>
          <cell r="Q35">
            <v>29.64</v>
          </cell>
          <cell r="R35">
            <v>38</v>
          </cell>
        </row>
        <row r="36">
          <cell r="C36" t="str">
            <v>JAM312</v>
          </cell>
          <cell r="D36" t="str">
            <v>BOJAM312</v>
          </cell>
          <cell r="E36">
            <v>3</v>
          </cell>
          <cell r="F36">
            <v>540</v>
          </cell>
          <cell r="H36" t="str">
            <v xml:space="preserve">LIXAVAN 20MG </v>
          </cell>
          <cell r="I36" t="str">
            <v>RIVAROXABAN 20MG</v>
          </cell>
          <cell r="J36" t="str">
            <v>Caja x  10 Tabletas</v>
          </cell>
          <cell r="K36" t="str">
            <v>TAB. REC.</v>
          </cell>
          <cell r="M36">
            <v>32.203389830508478</v>
          </cell>
          <cell r="N36">
            <v>25.118644067796613</v>
          </cell>
          <cell r="O36">
            <v>4.5213559322033898</v>
          </cell>
          <cell r="P36">
            <v>46783</v>
          </cell>
          <cell r="Q36">
            <v>29.64</v>
          </cell>
          <cell r="R36">
            <v>38</v>
          </cell>
        </row>
        <row r="37">
          <cell r="C37" t="str">
            <v>JAM313</v>
          </cell>
          <cell r="D37" t="str">
            <v>BOJAM313</v>
          </cell>
          <cell r="E37">
            <v>4</v>
          </cell>
          <cell r="F37">
            <v>320</v>
          </cell>
          <cell r="H37" t="str">
            <v xml:space="preserve">EMPALIZ 10MG </v>
          </cell>
          <cell r="I37" t="str">
            <v>EMPAGLIFLOZINA 10 MG</v>
          </cell>
          <cell r="J37" t="str">
            <v>Caja x  28 Tabletas</v>
          </cell>
          <cell r="K37" t="str">
            <v>TAB. REC.</v>
          </cell>
          <cell r="M37">
            <v>104</v>
          </cell>
          <cell r="N37">
            <v>81.12</v>
          </cell>
          <cell r="P37">
            <v>46660</v>
          </cell>
          <cell r="Q37">
            <v>81.12</v>
          </cell>
          <cell r="R37">
            <v>104</v>
          </cell>
        </row>
        <row r="38">
          <cell r="C38" t="str">
            <v>JAM314</v>
          </cell>
          <cell r="D38" t="str">
            <v>BOJAM314</v>
          </cell>
          <cell r="E38">
            <v>2</v>
          </cell>
          <cell r="F38">
            <v>240</v>
          </cell>
          <cell r="H38" t="str">
            <v xml:space="preserve">EMPALIZ 25MG </v>
          </cell>
          <cell r="I38" t="str">
            <v>EMPAGLIFLOZINA 25 MG</v>
          </cell>
          <cell r="J38" t="str">
            <v>Caja x  28 Tabletas</v>
          </cell>
          <cell r="K38" t="str">
            <v>TAB. REC.</v>
          </cell>
          <cell r="M38">
            <v>104</v>
          </cell>
          <cell r="N38">
            <v>81.12</v>
          </cell>
          <cell r="P38">
            <v>46660</v>
          </cell>
          <cell r="Q38">
            <v>81.12</v>
          </cell>
          <cell r="R38">
            <v>104</v>
          </cell>
        </row>
        <row r="39">
          <cell r="C39" t="str">
            <v>JAM315</v>
          </cell>
          <cell r="D39" t="str">
            <v>BOJAM315</v>
          </cell>
          <cell r="E39">
            <v>2</v>
          </cell>
          <cell r="H39" t="str">
            <v xml:space="preserve">FLOXIGA 10MG </v>
          </cell>
          <cell r="I39" t="str">
            <v>DAPAGLIFOSINA 10MG</v>
          </cell>
          <cell r="J39" t="str">
            <v>Caja x  28 Tabletas</v>
          </cell>
          <cell r="K39" t="str">
            <v>TAB. REC.</v>
          </cell>
          <cell r="M39">
            <v>66</v>
          </cell>
          <cell r="N39">
            <v>51.480000000000004</v>
          </cell>
          <cell r="P39">
            <v>46903</v>
          </cell>
          <cell r="Q39">
            <v>51.480000000000004</v>
          </cell>
          <cell r="R39">
            <v>66</v>
          </cell>
        </row>
        <row r="40">
          <cell r="C40" t="str">
            <v>JAM316</v>
          </cell>
          <cell r="D40" t="str">
            <v>BOJAM316</v>
          </cell>
          <cell r="E40">
            <v>2</v>
          </cell>
          <cell r="F40">
            <v>240</v>
          </cell>
          <cell r="H40" t="str">
            <v xml:space="preserve">APILTOX 2.5MG </v>
          </cell>
          <cell r="I40" t="str">
            <v>APIXABAN 2.5MG</v>
          </cell>
          <cell r="J40" t="str">
            <v>Caja x  28 Tabletas</v>
          </cell>
          <cell r="K40" t="str">
            <v>TAB. REC.</v>
          </cell>
          <cell r="M40">
            <v>44.745762711864408</v>
          </cell>
          <cell r="N40">
            <v>34.90169491525424</v>
          </cell>
          <cell r="O40">
            <v>6.2823050847457624</v>
          </cell>
          <cell r="P40">
            <v>46783</v>
          </cell>
          <cell r="Q40">
            <v>41.184000000000005</v>
          </cell>
          <cell r="R40">
            <v>52.8</v>
          </cell>
        </row>
        <row r="41">
          <cell r="C41" t="str">
            <v>JAM317</v>
          </cell>
          <cell r="D41" t="str">
            <v>BOJAM317</v>
          </cell>
          <cell r="E41">
            <v>4</v>
          </cell>
          <cell r="F41">
            <v>240</v>
          </cell>
          <cell r="H41" t="str">
            <v>APILTOX 5MG</v>
          </cell>
          <cell r="I41" t="str">
            <v>APIXABAN 5MG</v>
          </cell>
          <cell r="J41" t="str">
            <v>Caja x  28 Tabletas</v>
          </cell>
          <cell r="K41" t="str">
            <v>TAB. REC.</v>
          </cell>
          <cell r="M41">
            <v>48.305084745762713</v>
          </cell>
          <cell r="N41">
            <v>37.677966101694921</v>
          </cell>
          <cell r="O41">
            <v>6.7820338983050856</v>
          </cell>
          <cell r="P41">
            <v>46783</v>
          </cell>
          <cell r="Q41">
            <v>44.460000000000008</v>
          </cell>
          <cell r="R41">
            <v>57</v>
          </cell>
        </row>
        <row r="43">
          <cell r="C43" t="str">
            <v>JAM401</v>
          </cell>
          <cell r="D43" t="str">
            <v>BOJAM401</v>
          </cell>
          <cell r="E43">
            <v>4</v>
          </cell>
          <cell r="F43">
            <v>200</v>
          </cell>
          <cell r="H43" t="str">
            <v xml:space="preserve">DEPULOX 30MG </v>
          </cell>
          <cell r="I43" t="str">
            <v>DULOXETINA 30MG</v>
          </cell>
          <cell r="J43" t="str">
            <v>Caja x 30 Capsulas</v>
          </cell>
          <cell r="K43" t="str">
            <v>CAPSULA</v>
          </cell>
          <cell r="M43">
            <v>116.10169491525424</v>
          </cell>
          <cell r="N43">
            <v>90.559322033898312</v>
          </cell>
          <cell r="O43">
            <v>16.300677966101695</v>
          </cell>
          <cell r="P43">
            <v>46691</v>
          </cell>
          <cell r="Q43">
            <v>106.86000000000001</v>
          </cell>
          <cell r="R43">
            <v>137</v>
          </cell>
        </row>
        <row r="44">
          <cell r="C44" t="str">
            <v>JAM402</v>
          </cell>
          <cell r="D44" t="str">
            <v>BOJAM402</v>
          </cell>
          <cell r="E44">
            <v>2</v>
          </cell>
          <cell r="H44" t="str">
            <v>DEPULOX 60MG</v>
          </cell>
          <cell r="I44" t="str">
            <v>DULOXETINA 60MG</v>
          </cell>
          <cell r="J44" t="str">
            <v>Caja x 30 Capsulas</v>
          </cell>
          <cell r="K44" t="str">
            <v>CAPSULA</v>
          </cell>
          <cell r="M44">
            <v>125.42372881355932</v>
          </cell>
          <cell r="N44">
            <v>97.830508474576277</v>
          </cell>
          <cell r="O44">
            <v>17.609491525423728</v>
          </cell>
          <cell r="P44">
            <v>46507</v>
          </cell>
          <cell r="Q44">
            <v>115.44</v>
          </cell>
          <cell r="R44">
            <v>148</v>
          </cell>
        </row>
        <row r="45">
          <cell r="C45" t="str">
            <v>JAM403</v>
          </cell>
          <cell r="D45" t="str">
            <v>BOJAM403</v>
          </cell>
          <cell r="E45">
            <v>2</v>
          </cell>
          <cell r="H45" t="str">
            <v xml:space="preserve">DONESTA 10MG </v>
          </cell>
          <cell r="I45" t="str">
            <v xml:space="preserve">DONEPEZILO 10MG </v>
          </cell>
          <cell r="J45" t="str">
            <v>Caja x 30 tabletas</v>
          </cell>
          <cell r="K45" t="str">
            <v>TAB. REC.</v>
          </cell>
          <cell r="M45">
            <v>103.38983050847459</v>
          </cell>
          <cell r="N45">
            <v>80.644067796610187</v>
          </cell>
          <cell r="O45">
            <v>14.515932203389832</v>
          </cell>
          <cell r="Q45">
            <v>95.160000000000025</v>
          </cell>
          <cell r="R45">
            <v>122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4A54-1413-4A79-978B-224AE72F0FD0}">
  <dimension ref="A1:F71"/>
  <sheetViews>
    <sheetView tabSelected="1" workbookViewId="0">
      <selection activeCell="D12" sqref="D12"/>
    </sheetView>
  </sheetViews>
  <sheetFormatPr baseColWidth="10" defaultRowHeight="14.4" x14ac:dyDescent="0.3"/>
  <cols>
    <col min="1" max="1" width="10.88671875" bestFit="1" customWidth="1"/>
    <col min="2" max="2" width="41.109375" bestFit="1" customWidth="1"/>
    <col min="3" max="3" width="11.21875" bestFit="1" customWidth="1"/>
    <col min="4" max="4" width="10.44140625" bestFit="1" customWidth="1"/>
    <col min="5" max="5" width="12.77734375" bestFit="1" customWidth="1"/>
    <col min="6" max="6" width="13.33203125" bestFit="1" customWidth="1"/>
  </cols>
  <sheetData>
    <row r="1" spans="1:6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</v>
      </c>
    </row>
    <row r="2" spans="1:6" x14ac:dyDescent="0.3">
      <c r="A2" t="s">
        <v>5</v>
      </c>
      <c r="B2" t="s">
        <v>6</v>
      </c>
      <c r="C2" t="s">
        <v>110</v>
      </c>
      <c r="D2" t="s">
        <v>111</v>
      </c>
      <c r="E2" t="s">
        <v>112</v>
      </c>
      <c r="F2" t="s">
        <v>114</v>
      </c>
    </row>
    <row r="3" spans="1:6" x14ac:dyDescent="0.3">
      <c r="A3" t="s">
        <v>7</v>
      </c>
      <c r="B3" t="s">
        <v>6</v>
      </c>
      <c r="C3" t="s">
        <v>110</v>
      </c>
      <c r="D3" t="s">
        <v>111</v>
      </c>
      <c r="E3" t="s">
        <v>112</v>
      </c>
      <c r="F3">
        <f>VLOOKUP(A3,'[1]PARA OC LOGISALUD'!$C$6:$R$45,16,0)</f>
        <v>52.8</v>
      </c>
    </row>
    <row r="4" spans="1:6" x14ac:dyDescent="0.3">
      <c r="A4" t="s">
        <v>8</v>
      </c>
      <c r="B4" t="s">
        <v>9</v>
      </c>
      <c r="C4" t="s">
        <v>110</v>
      </c>
      <c r="D4" t="s">
        <v>111</v>
      </c>
      <c r="E4" t="s">
        <v>112</v>
      </c>
      <c r="F4">
        <f>VLOOKUP(A4,'[1]PARA OC LOGISALUD'!$C$6:$R$45,16,0)</f>
        <v>57</v>
      </c>
    </row>
    <row r="5" spans="1:6" x14ac:dyDescent="0.3">
      <c r="A5" t="s">
        <v>10</v>
      </c>
      <c r="B5" t="s">
        <v>9</v>
      </c>
      <c r="C5" t="s">
        <v>110</v>
      </c>
      <c r="D5" t="s">
        <v>111</v>
      </c>
      <c r="E5" t="s">
        <v>112</v>
      </c>
      <c r="F5" t="s">
        <v>114</v>
      </c>
    </row>
    <row r="6" spans="1:6" x14ac:dyDescent="0.3">
      <c r="A6" t="s">
        <v>11</v>
      </c>
      <c r="B6" t="s">
        <v>12</v>
      </c>
      <c r="C6" t="s">
        <v>110</v>
      </c>
      <c r="D6" t="s">
        <v>111</v>
      </c>
      <c r="E6" t="s">
        <v>112</v>
      </c>
      <c r="F6" t="s">
        <v>114</v>
      </c>
    </row>
    <row r="7" spans="1:6" x14ac:dyDescent="0.3">
      <c r="A7" t="s">
        <v>13</v>
      </c>
      <c r="B7" t="s">
        <v>14</v>
      </c>
      <c r="C7" t="s">
        <v>110</v>
      </c>
      <c r="D7" t="s">
        <v>111</v>
      </c>
      <c r="E7" t="s">
        <v>112</v>
      </c>
      <c r="F7" t="s">
        <v>114</v>
      </c>
    </row>
    <row r="8" spans="1:6" x14ac:dyDescent="0.3">
      <c r="A8" t="s">
        <v>15</v>
      </c>
      <c r="B8" t="s">
        <v>14</v>
      </c>
      <c r="C8" t="s">
        <v>110</v>
      </c>
      <c r="D8" t="s">
        <v>111</v>
      </c>
      <c r="E8" t="s">
        <v>112</v>
      </c>
      <c r="F8">
        <f>VLOOKUP(A8,'[1]PARA OC LOGISALUD'!$C$6:$R$45,16,0)</f>
        <v>96</v>
      </c>
    </row>
    <row r="9" spans="1:6" x14ac:dyDescent="0.3">
      <c r="A9" t="s">
        <v>16</v>
      </c>
      <c r="B9" t="s">
        <v>17</v>
      </c>
      <c r="C9" t="s">
        <v>110</v>
      </c>
      <c r="D9" t="s">
        <v>111</v>
      </c>
      <c r="E9" t="s">
        <v>112</v>
      </c>
      <c r="F9">
        <f>VLOOKUP(A9,'[1]PARA OC LOGISALUD'!$C$6:$R$45,16,0)</f>
        <v>38.5</v>
      </c>
    </row>
    <row r="10" spans="1:6" x14ac:dyDescent="0.3">
      <c r="A10" t="s">
        <v>18</v>
      </c>
      <c r="B10" t="s">
        <v>19</v>
      </c>
      <c r="C10" t="s">
        <v>110</v>
      </c>
      <c r="D10" t="s">
        <v>111</v>
      </c>
      <c r="E10" t="s">
        <v>112</v>
      </c>
      <c r="F10">
        <f>VLOOKUP(A10,'[1]PARA OC LOGISALUD'!$C$6:$R$45,16,0)</f>
        <v>59.8</v>
      </c>
    </row>
    <row r="11" spans="1:6" x14ac:dyDescent="0.3">
      <c r="A11" t="s">
        <v>20</v>
      </c>
      <c r="B11" t="s">
        <v>19</v>
      </c>
      <c r="C11" t="s">
        <v>110</v>
      </c>
      <c r="D11" t="s">
        <v>111</v>
      </c>
      <c r="E11" t="s">
        <v>112</v>
      </c>
      <c r="F11" t="s">
        <v>114</v>
      </c>
    </row>
    <row r="12" spans="1:6" x14ac:dyDescent="0.3">
      <c r="A12" t="s">
        <v>21</v>
      </c>
      <c r="B12" t="s">
        <v>22</v>
      </c>
      <c r="C12" t="s">
        <v>110</v>
      </c>
      <c r="D12" t="s">
        <v>111</v>
      </c>
      <c r="E12" t="s">
        <v>112</v>
      </c>
      <c r="F12">
        <f>VLOOKUP(A12,'[1]PARA OC LOGISALUD'!$C$6:$R$45,16,0)</f>
        <v>137</v>
      </c>
    </row>
    <row r="13" spans="1:6" x14ac:dyDescent="0.3">
      <c r="A13" t="s">
        <v>23</v>
      </c>
      <c r="B13" t="s">
        <v>24</v>
      </c>
      <c r="C13" t="s">
        <v>110</v>
      </c>
      <c r="D13" t="s">
        <v>111</v>
      </c>
      <c r="E13" t="s">
        <v>112</v>
      </c>
      <c r="F13" t="s">
        <v>114</v>
      </c>
    </row>
    <row r="14" spans="1:6" x14ac:dyDescent="0.3">
      <c r="A14" t="s">
        <v>25</v>
      </c>
      <c r="B14" t="s">
        <v>24</v>
      </c>
      <c r="C14" t="s">
        <v>110</v>
      </c>
      <c r="D14" t="s">
        <v>111</v>
      </c>
      <c r="E14" t="s">
        <v>112</v>
      </c>
      <c r="F14">
        <f>VLOOKUP(A14,'[1]PARA OC LOGISALUD'!$C$6:$R$45,16,0)</f>
        <v>104</v>
      </c>
    </row>
    <row r="15" spans="1:6" x14ac:dyDescent="0.3">
      <c r="A15" t="s">
        <v>26</v>
      </c>
      <c r="B15" t="s">
        <v>27</v>
      </c>
      <c r="C15" t="s">
        <v>110</v>
      </c>
      <c r="D15" t="s">
        <v>111</v>
      </c>
      <c r="E15" t="s">
        <v>112</v>
      </c>
      <c r="F15">
        <f>VLOOKUP(A15,'[1]PARA OC LOGISALUD'!$C$6:$R$45,16,0)</f>
        <v>199.2</v>
      </c>
    </row>
    <row r="16" spans="1:6" x14ac:dyDescent="0.3">
      <c r="A16" t="s">
        <v>28</v>
      </c>
      <c r="B16" t="s">
        <v>27</v>
      </c>
      <c r="C16" t="s">
        <v>110</v>
      </c>
      <c r="D16" t="s">
        <v>111</v>
      </c>
      <c r="E16" t="s">
        <v>112</v>
      </c>
      <c r="F16" t="s">
        <v>114</v>
      </c>
    </row>
    <row r="17" spans="1:6" x14ac:dyDescent="0.3">
      <c r="A17" t="s">
        <v>29</v>
      </c>
      <c r="B17" t="s">
        <v>30</v>
      </c>
      <c r="C17" t="s">
        <v>110</v>
      </c>
      <c r="D17" t="s">
        <v>111</v>
      </c>
      <c r="E17" t="s">
        <v>112</v>
      </c>
      <c r="F17" t="s">
        <v>114</v>
      </c>
    </row>
    <row r="18" spans="1:6" x14ac:dyDescent="0.3">
      <c r="A18" t="s">
        <v>31</v>
      </c>
      <c r="B18" t="s">
        <v>30</v>
      </c>
      <c r="C18" t="s">
        <v>110</v>
      </c>
      <c r="D18" t="s">
        <v>111</v>
      </c>
      <c r="E18" t="s">
        <v>112</v>
      </c>
      <c r="F18">
        <f>VLOOKUP(A18,'[1]PARA OC LOGISALUD'!$C$6:$R$45,16,0)</f>
        <v>149</v>
      </c>
    </row>
    <row r="19" spans="1:6" x14ac:dyDescent="0.3">
      <c r="A19" t="s">
        <v>32</v>
      </c>
      <c r="B19" t="s">
        <v>33</v>
      </c>
      <c r="C19" t="s">
        <v>110</v>
      </c>
      <c r="D19" t="s">
        <v>111</v>
      </c>
      <c r="E19" t="s">
        <v>112</v>
      </c>
      <c r="F19">
        <f>VLOOKUP(A19,'[1]PARA OC LOGISALUD'!$C$6:$R$45,16,0)</f>
        <v>76</v>
      </c>
    </row>
    <row r="20" spans="1:6" x14ac:dyDescent="0.3">
      <c r="A20" t="s">
        <v>34</v>
      </c>
      <c r="B20" t="s">
        <v>33</v>
      </c>
      <c r="C20" t="s">
        <v>110</v>
      </c>
      <c r="D20" t="s">
        <v>111</v>
      </c>
      <c r="E20" t="s">
        <v>112</v>
      </c>
      <c r="F20" t="s">
        <v>114</v>
      </c>
    </row>
    <row r="21" spans="1:6" x14ac:dyDescent="0.3">
      <c r="A21" t="s">
        <v>35</v>
      </c>
      <c r="B21" t="s">
        <v>36</v>
      </c>
      <c r="C21" t="s">
        <v>110</v>
      </c>
      <c r="D21" t="s">
        <v>111</v>
      </c>
      <c r="E21" t="s">
        <v>112</v>
      </c>
      <c r="F21" t="s">
        <v>114</v>
      </c>
    </row>
    <row r="22" spans="1:6" x14ac:dyDescent="0.3">
      <c r="A22" t="s">
        <v>37</v>
      </c>
      <c r="B22" t="s">
        <v>36</v>
      </c>
      <c r="C22" t="s">
        <v>110</v>
      </c>
      <c r="D22" t="s">
        <v>111</v>
      </c>
      <c r="E22" t="s">
        <v>112</v>
      </c>
      <c r="F22">
        <f>VLOOKUP(A22,'[1]PARA OC LOGISALUD'!$C$6:$R$45,16,0)</f>
        <v>66</v>
      </c>
    </row>
    <row r="23" spans="1:6" x14ac:dyDescent="0.3">
      <c r="A23" t="s">
        <v>38</v>
      </c>
      <c r="B23" t="s">
        <v>39</v>
      </c>
      <c r="C23" t="s">
        <v>110</v>
      </c>
      <c r="D23" t="s">
        <v>111</v>
      </c>
      <c r="E23" t="s">
        <v>112</v>
      </c>
      <c r="F23" t="s">
        <v>114</v>
      </c>
    </row>
    <row r="24" spans="1:6" x14ac:dyDescent="0.3">
      <c r="A24" t="s">
        <v>40</v>
      </c>
      <c r="B24" t="s">
        <v>39</v>
      </c>
      <c r="C24" t="s">
        <v>110</v>
      </c>
      <c r="D24" t="s">
        <v>111</v>
      </c>
      <c r="E24" t="s">
        <v>112</v>
      </c>
      <c r="F24">
        <f>VLOOKUP(A24,'[1]PARA OC LOGISALUD'!$C$6:$R$45,16,0)</f>
        <v>27</v>
      </c>
    </row>
    <row r="25" spans="1:6" x14ac:dyDescent="0.3">
      <c r="A25" t="s">
        <v>41</v>
      </c>
      <c r="B25" t="s">
        <v>42</v>
      </c>
      <c r="C25" t="s">
        <v>110</v>
      </c>
      <c r="D25" t="s">
        <v>111</v>
      </c>
      <c r="E25" t="s">
        <v>112</v>
      </c>
      <c r="F25">
        <f>VLOOKUP(A25,'[1]PARA OC LOGISALUD'!$C$6:$R$45,16,0)</f>
        <v>19.899999999999999</v>
      </c>
    </row>
    <row r="26" spans="1:6" x14ac:dyDescent="0.3">
      <c r="A26" t="s">
        <v>43</v>
      </c>
      <c r="B26" t="s">
        <v>42</v>
      </c>
      <c r="C26" t="s">
        <v>110</v>
      </c>
      <c r="D26" t="s">
        <v>111</v>
      </c>
      <c r="E26" t="s">
        <v>112</v>
      </c>
      <c r="F26" t="s">
        <v>114</v>
      </c>
    </row>
    <row r="27" spans="1:6" x14ac:dyDescent="0.3">
      <c r="A27" t="s">
        <v>44</v>
      </c>
      <c r="B27" t="s">
        <v>22</v>
      </c>
      <c r="C27" t="s">
        <v>110</v>
      </c>
      <c r="D27" t="s">
        <v>111</v>
      </c>
      <c r="E27" t="s">
        <v>112</v>
      </c>
      <c r="F27" t="s">
        <v>114</v>
      </c>
    </row>
    <row r="28" spans="1:6" x14ac:dyDescent="0.3">
      <c r="A28" t="s">
        <v>45</v>
      </c>
      <c r="B28" t="s">
        <v>46</v>
      </c>
      <c r="C28" t="s">
        <v>110</v>
      </c>
      <c r="D28" t="s">
        <v>111</v>
      </c>
      <c r="E28" t="s">
        <v>112</v>
      </c>
      <c r="F28" t="s">
        <v>114</v>
      </c>
    </row>
    <row r="29" spans="1:6" x14ac:dyDescent="0.3">
      <c r="A29" t="s">
        <v>47</v>
      </c>
      <c r="B29" t="s">
        <v>46</v>
      </c>
      <c r="C29" t="s">
        <v>110</v>
      </c>
      <c r="D29" t="s">
        <v>111</v>
      </c>
      <c r="E29" t="s">
        <v>112</v>
      </c>
      <c r="F29">
        <f>VLOOKUP(A29,'[1]PARA OC LOGISALUD'!$C$6:$R$45,16,0)</f>
        <v>148</v>
      </c>
    </row>
    <row r="30" spans="1:6" x14ac:dyDescent="0.3">
      <c r="A30" t="s">
        <v>48</v>
      </c>
      <c r="B30" t="s">
        <v>49</v>
      </c>
      <c r="C30" t="s">
        <v>110</v>
      </c>
      <c r="D30" t="s">
        <v>111</v>
      </c>
      <c r="E30" t="s">
        <v>112</v>
      </c>
      <c r="F30" t="s">
        <v>114</v>
      </c>
    </row>
    <row r="31" spans="1:6" x14ac:dyDescent="0.3">
      <c r="A31" t="s">
        <v>50</v>
      </c>
      <c r="B31" t="s">
        <v>49</v>
      </c>
      <c r="C31" t="s">
        <v>110</v>
      </c>
      <c r="D31" t="s">
        <v>111</v>
      </c>
      <c r="E31" t="s">
        <v>112</v>
      </c>
      <c r="F31">
        <f>VLOOKUP(A31,'[1]PARA OC LOGISALUD'!$C$6:$R$45,16,0)</f>
        <v>122</v>
      </c>
    </row>
    <row r="32" spans="1:6" x14ac:dyDescent="0.3">
      <c r="A32" t="s">
        <v>51</v>
      </c>
      <c r="B32" t="s">
        <v>52</v>
      </c>
      <c r="C32" t="s">
        <v>110</v>
      </c>
      <c r="D32" t="s">
        <v>111</v>
      </c>
      <c r="E32" t="s">
        <v>112</v>
      </c>
      <c r="F32">
        <f>VLOOKUP(A32,'[1]PARA OC LOGISALUD'!$C$6:$R$45,16,0)</f>
        <v>152</v>
      </c>
    </row>
    <row r="33" spans="1:6" x14ac:dyDescent="0.3">
      <c r="A33" t="s">
        <v>53</v>
      </c>
      <c r="B33" t="s">
        <v>52</v>
      </c>
      <c r="C33" t="s">
        <v>110</v>
      </c>
      <c r="D33" t="s">
        <v>111</v>
      </c>
      <c r="E33" t="s">
        <v>112</v>
      </c>
      <c r="F33" t="s">
        <v>114</v>
      </c>
    </row>
    <row r="34" spans="1:6" x14ac:dyDescent="0.3">
      <c r="A34" t="s">
        <v>54</v>
      </c>
      <c r="B34" t="s">
        <v>55</v>
      </c>
      <c r="C34" t="s">
        <v>110</v>
      </c>
      <c r="D34" t="s">
        <v>111</v>
      </c>
      <c r="E34" t="s">
        <v>112</v>
      </c>
      <c r="F34" t="s">
        <v>114</v>
      </c>
    </row>
    <row r="35" spans="1:6" x14ac:dyDescent="0.3">
      <c r="A35" t="s">
        <v>56</v>
      </c>
      <c r="B35" t="s">
        <v>55</v>
      </c>
      <c r="C35" t="s">
        <v>110</v>
      </c>
      <c r="D35" t="s">
        <v>111</v>
      </c>
      <c r="E35" t="s">
        <v>112</v>
      </c>
      <c r="F35">
        <f>VLOOKUP(A35,'[1]PARA OC LOGISALUD'!$C$6:$R$45,16,0)</f>
        <v>104</v>
      </c>
    </row>
    <row r="36" spans="1:6" x14ac:dyDescent="0.3">
      <c r="A36" t="s">
        <v>57</v>
      </c>
      <c r="B36" t="s">
        <v>58</v>
      </c>
      <c r="C36" t="s">
        <v>110</v>
      </c>
      <c r="D36" t="s">
        <v>111</v>
      </c>
      <c r="E36" t="s">
        <v>112</v>
      </c>
      <c r="F36" t="s">
        <v>114</v>
      </c>
    </row>
    <row r="37" spans="1:6" x14ac:dyDescent="0.3">
      <c r="A37" t="s">
        <v>59</v>
      </c>
      <c r="B37" t="s">
        <v>58</v>
      </c>
      <c r="C37" t="s">
        <v>110</v>
      </c>
      <c r="D37" t="s">
        <v>111</v>
      </c>
      <c r="E37" t="s">
        <v>112</v>
      </c>
      <c r="F37">
        <f>VLOOKUP(A37,'[1]PARA OC LOGISALUD'!$C$6:$R$45,16,0)</f>
        <v>37.9</v>
      </c>
    </row>
    <row r="38" spans="1:6" x14ac:dyDescent="0.3">
      <c r="A38" t="s">
        <v>60</v>
      </c>
      <c r="B38" t="s">
        <v>61</v>
      </c>
      <c r="C38" t="s">
        <v>110</v>
      </c>
      <c r="D38" t="s">
        <v>111</v>
      </c>
      <c r="E38" t="s">
        <v>112</v>
      </c>
      <c r="F38">
        <f>VLOOKUP(A38,'[1]PARA OC LOGISALUD'!$C$6:$R$45,16,0)</f>
        <v>41.65</v>
      </c>
    </row>
    <row r="39" spans="1:6" x14ac:dyDescent="0.3">
      <c r="A39" t="s">
        <v>62</v>
      </c>
      <c r="B39" t="s">
        <v>61</v>
      </c>
      <c r="C39" t="s">
        <v>110</v>
      </c>
      <c r="D39" t="s">
        <v>111</v>
      </c>
      <c r="E39" t="s">
        <v>112</v>
      </c>
      <c r="F39" t="s">
        <v>114</v>
      </c>
    </row>
    <row r="40" spans="1:6" x14ac:dyDescent="0.3">
      <c r="A40" t="s">
        <v>63</v>
      </c>
      <c r="B40" t="s">
        <v>64</v>
      </c>
      <c r="C40" t="s">
        <v>110</v>
      </c>
      <c r="D40" t="s">
        <v>111</v>
      </c>
      <c r="E40" t="s">
        <v>112</v>
      </c>
      <c r="F40" t="s">
        <v>114</v>
      </c>
    </row>
    <row r="41" spans="1:6" x14ac:dyDescent="0.3">
      <c r="A41" t="s">
        <v>65</v>
      </c>
      <c r="B41" t="s">
        <v>64</v>
      </c>
      <c r="C41" t="s">
        <v>110</v>
      </c>
      <c r="D41" t="s">
        <v>111</v>
      </c>
      <c r="E41" t="s">
        <v>112</v>
      </c>
      <c r="F41">
        <f>VLOOKUP(A41,'[1]PARA OC LOGISALUD'!$C$6:$R$45,16,0)</f>
        <v>38</v>
      </c>
    </row>
    <row r="42" spans="1:6" x14ac:dyDescent="0.3">
      <c r="A42" t="s">
        <v>66</v>
      </c>
      <c r="B42" t="s">
        <v>67</v>
      </c>
      <c r="C42" t="s">
        <v>110</v>
      </c>
      <c r="D42" t="s">
        <v>111</v>
      </c>
      <c r="E42" t="s">
        <v>112</v>
      </c>
      <c r="F42" t="s">
        <v>114</v>
      </c>
    </row>
    <row r="43" spans="1:6" x14ac:dyDescent="0.3">
      <c r="A43" t="s">
        <v>68</v>
      </c>
      <c r="B43" t="s">
        <v>67</v>
      </c>
      <c r="C43" t="s">
        <v>110</v>
      </c>
      <c r="D43" t="s">
        <v>111</v>
      </c>
      <c r="E43" t="s">
        <v>112</v>
      </c>
      <c r="F43">
        <f>VLOOKUP(A43,'[1]PARA OC LOGISALUD'!$C$6:$R$45,16,0)</f>
        <v>38</v>
      </c>
    </row>
    <row r="44" spans="1:6" x14ac:dyDescent="0.3">
      <c r="A44" t="s">
        <v>69</v>
      </c>
      <c r="B44" t="s">
        <v>70</v>
      </c>
      <c r="C44" t="s">
        <v>110</v>
      </c>
      <c r="D44" t="s">
        <v>111</v>
      </c>
      <c r="E44" t="s">
        <v>112</v>
      </c>
      <c r="F44" t="s">
        <v>114</v>
      </c>
    </row>
    <row r="45" spans="1:6" x14ac:dyDescent="0.3">
      <c r="A45" t="s">
        <v>71</v>
      </c>
      <c r="B45" t="s">
        <v>70</v>
      </c>
      <c r="C45" t="s">
        <v>110</v>
      </c>
      <c r="D45" t="s">
        <v>111</v>
      </c>
      <c r="E45" t="s">
        <v>112</v>
      </c>
      <c r="F45">
        <f>VLOOKUP(A45,'[1]PARA OC LOGISALUD'!$C$6:$R$45,16,0)</f>
        <v>68</v>
      </c>
    </row>
    <row r="46" spans="1:6" x14ac:dyDescent="0.3">
      <c r="A46" t="s">
        <v>72</v>
      </c>
      <c r="B46" t="s">
        <v>73</v>
      </c>
      <c r="C46" t="s">
        <v>110</v>
      </c>
      <c r="D46" t="s">
        <v>111</v>
      </c>
      <c r="E46" t="s">
        <v>112</v>
      </c>
      <c r="F46">
        <f>VLOOKUP(A46,'[1]PARA OC LOGISALUD'!$C$6:$R$45,16,0)</f>
        <v>98</v>
      </c>
    </row>
    <row r="47" spans="1:6" x14ac:dyDescent="0.3">
      <c r="A47" t="s">
        <v>74</v>
      </c>
      <c r="B47" t="s">
        <v>73</v>
      </c>
      <c r="C47" t="s">
        <v>110</v>
      </c>
      <c r="D47" t="s">
        <v>111</v>
      </c>
      <c r="E47" t="s">
        <v>112</v>
      </c>
      <c r="F47" t="s">
        <v>114</v>
      </c>
    </row>
    <row r="48" spans="1:6" x14ac:dyDescent="0.3">
      <c r="A48" t="s">
        <v>75</v>
      </c>
      <c r="B48" t="s">
        <v>76</v>
      </c>
      <c r="C48" t="s">
        <v>110</v>
      </c>
      <c r="D48" t="s">
        <v>111</v>
      </c>
      <c r="E48" t="s">
        <v>112</v>
      </c>
      <c r="F48" t="s">
        <v>114</v>
      </c>
    </row>
    <row r="49" spans="1:6" x14ac:dyDescent="0.3">
      <c r="A49" t="s">
        <v>77</v>
      </c>
      <c r="B49" t="s">
        <v>76</v>
      </c>
      <c r="C49" t="s">
        <v>110</v>
      </c>
      <c r="D49" t="s">
        <v>111</v>
      </c>
      <c r="E49" t="s">
        <v>112</v>
      </c>
      <c r="F49">
        <f>VLOOKUP(A49,'[1]PARA OC LOGISALUD'!$C$6:$R$45,16,0)</f>
        <v>134</v>
      </c>
    </row>
    <row r="50" spans="1:6" x14ac:dyDescent="0.3">
      <c r="A50" t="s">
        <v>78</v>
      </c>
      <c r="B50" t="s">
        <v>79</v>
      </c>
      <c r="C50" t="s">
        <v>110</v>
      </c>
      <c r="D50" t="s">
        <v>111</v>
      </c>
      <c r="E50" t="s">
        <v>112</v>
      </c>
      <c r="F50">
        <f>VLOOKUP(A50,'[1]PARA OC LOGISALUD'!$C$6:$R$45,16,0)</f>
        <v>138</v>
      </c>
    </row>
    <row r="51" spans="1:6" x14ac:dyDescent="0.3">
      <c r="A51" t="s">
        <v>80</v>
      </c>
      <c r="B51" t="s">
        <v>79</v>
      </c>
      <c r="C51" t="s">
        <v>110</v>
      </c>
      <c r="D51" t="s">
        <v>111</v>
      </c>
      <c r="E51" t="s">
        <v>112</v>
      </c>
      <c r="F51" t="s">
        <v>114</v>
      </c>
    </row>
    <row r="52" spans="1:6" x14ac:dyDescent="0.3">
      <c r="A52" t="s">
        <v>81</v>
      </c>
      <c r="B52" t="s">
        <v>82</v>
      </c>
      <c r="C52" t="s">
        <v>110</v>
      </c>
      <c r="D52" t="s">
        <v>111</v>
      </c>
      <c r="E52" t="s">
        <v>112</v>
      </c>
      <c r="F52">
        <f>VLOOKUP(A52,'[1]PARA OC LOGISALUD'!$C$6:$R$45,16,0)</f>
        <v>78</v>
      </c>
    </row>
    <row r="53" spans="1:6" x14ac:dyDescent="0.3">
      <c r="A53" t="s">
        <v>83</v>
      </c>
      <c r="B53" t="s">
        <v>82</v>
      </c>
      <c r="C53" t="s">
        <v>110</v>
      </c>
      <c r="D53" t="s">
        <v>111</v>
      </c>
      <c r="E53" t="s">
        <v>112</v>
      </c>
      <c r="F53" t="s">
        <v>114</v>
      </c>
    </row>
    <row r="54" spans="1:6" x14ac:dyDescent="0.3">
      <c r="A54" t="s">
        <v>84</v>
      </c>
      <c r="B54" t="s">
        <v>85</v>
      </c>
      <c r="C54" t="s">
        <v>110</v>
      </c>
      <c r="D54" t="s">
        <v>111</v>
      </c>
      <c r="E54" t="s">
        <v>112</v>
      </c>
      <c r="F54">
        <f>VLOOKUP(A54,'[1]PARA OC LOGISALUD'!$C$6:$R$45,16,0)</f>
        <v>184</v>
      </c>
    </row>
    <row r="55" spans="1:6" x14ac:dyDescent="0.3">
      <c r="A55" t="s">
        <v>86</v>
      </c>
      <c r="B55" t="s">
        <v>85</v>
      </c>
      <c r="C55" t="s">
        <v>110</v>
      </c>
      <c r="D55" t="s">
        <v>111</v>
      </c>
      <c r="E55" t="s">
        <v>112</v>
      </c>
      <c r="F55" t="s">
        <v>114</v>
      </c>
    </row>
    <row r="56" spans="1:6" x14ac:dyDescent="0.3">
      <c r="A56" t="s">
        <v>87</v>
      </c>
      <c r="B56" t="s">
        <v>88</v>
      </c>
      <c r="C56" t="s">
        <v>110</v>
      </c>
      <c r="D56" t="s">
        <v>111</v>
      </c>
      <c r="E56" t="s">
        <v>112</v>
      </c>
      <c r="F56">
        <f>VLOOKUP(A56,'[1]PARA OC LOGISALUD'!$C$6:$R$45,16,0)</f>
        <v>39</v>
      </c>
    </row>
    <row r="57" spans="1:6" x14ac:dyDescent="0.3">
      <c r="A57" t="s">
        <v>89</v>
      </c>
      <c r="B57" t="s">
        <v>88</v>
      </c>
      <c r="C57" t="s">
        <v>110</v>
      </c>
      <c r="D57" t="s">
        <v>111</v>
      </c>
      <c r="E57" t="s">
        <v>112</v>
      </c>
      <c r="F57" t="s">
        <v>114</v>
      </c>
    </row>
    <row r="58" spans="1:6" x14ac:dyDescent="0.3">
      <c r="A58" t="s">
        <v>90</v>
      </c>
      <c r="B58" t="s">
        <v>91</v>
      </c>
      <c r="C58" t="s">
        <v>110</v>
      </c>
      <c r="D58" t="s">
        <v>111</v>
      </c>
      <c r="E58" t="s">
        <v>112</v>
      </c>
      <c r="F58">
        <f>VLOOKUP(A58,'[1]PARA OC LOGISALUD'!$C$6:$R$45,16,0)</f>
        <v>59</v>
      </c>
    </row>
    <row r="59" spans="1:6" x14ac:dyDescent="0.3">
      <c r="A59" t="s">
        <v>92</v>
      </c>
      <c r="B59" t="s">
        <v>91</v>
      </c>
      <c r="C59" t="s">
        <v>110</v>
      </c>
      <c r="D59" t="s">
        <v>111</v>
      </c>
      <c r="E59" t="s">
        <v>112</v>
      </c>
      <c r="F59" t="s">
        <v>114</v>
      </c>
    </row>
    <row r="60" spans="1:6" x14ac:dyDescent="0.3">
      <c r="A60" t="s">
        <v>93</v>
      </c>
      <c r="B60" t="s">
        <v>94</v>
      </c>
      <c r="C60" t="s">
        <v>110</v>
      </c>
      <c r="D60" t="s">
        <v>111</v>
      </c>
      <c r="E60" t="s">
        <v>112</v>
      </c>
      <c r="F60">
        <f>VLOOKUP(A60,'[1]PARA OC LOGISALUD'!$C$6:$R$45,16,0)</f>
        <v>46</v>
      </c>
    </row>
    <row r="61" spans="1:6" x14ac:dyDescent="0.3">
      <c r="A61" t="s">
        <v>95</v>
      </c>
      <c r="B61" t="s">
        <v>94</v>
      </c>
      <c r="C61" t="s">
        <v>110</v>
      </c>
      <c r="D61" t="s">
        <v>111</v>
      </c>
      <c r="E61" t="s">
        <v>112</v>
      </c>
      <c r="F61" t="s">
        <v>114</v>
      </c>
    </row>
    <row r="62" spans="1:6" x14ac:dyDescent="0.3">
      <c r="A62" t="s">
        <v>96</v>
      </c>
      <c r="B62" t="s">
        <v>97</v>
      </c>
      <c r="C62" t="s">
        <v>110</v>
      </c>
      <c r="D62" t="s">
        <v>111</v>
      </c>
      <c r="E62" t="s">
        <v>112</v>
      </c>
      <c r="F62">
        <f>VLOOKUP(A62,'[1]PARA OC LOGISALUD'!$C$6:$R$45,16,0)</f>
        <v>68</v>
      </c>
    </row>
    <row r="63" spans="1:6" x14ac:dyDescent="0.3">
      <c r="A63" t="s">
        <v>98</v>
      </c>
      <c r="B63" t="s">
        <v>97</v>
      </c>
      <c r="C63" t="s">
        <v>110</v>
      </c>
      <c r="D63" t="s">
        <v>111</v>
      </c>
      <c r="E63" t="s">
        <v>112</v>
      </c>
      <c r="F63" t="s">
        <v>114</v>
      </c>
    </row>
    <row r="64" spans="1:6" x14ac:dyDescent="0.3">
      <c r="A64" t="s">
        <v>99</v>
      </c>
      <c r="B64" t="s">
        <v>100</v>
      </c>
      <c r="C64" t="s">
        <v>110</v>
      </c>
      <c r="D64" t="s">
        <v>111</v>
      </c>
      <c r="E64" t="s">
        <v>112</v>
      </c>
      <c r="F64">
        <f>VLOOKUP(A64,'[1]PARA OC LOGISALUD'!$C$6:$R$45,16,0)</f>
        <v>138</v>
      </c>
    </row>
    <row r="65" spans="1:6" x14ac:dyDescent="0.3">
      <c r="A65" t="s">
        <v>101</v>
      </c>
      <c r="B65" t="s">
        <v>100</v>
      </c>
      <c r="C65" t="s">
        <v>110</v>
      </c>
      <c r="D65" t="s">
        <v>111</v>
      </c>
      <c r="E65" t="s">
        <v>112</v>
      </c>
      <c r="F65" t="s">
        <v>114</v>
      </c>
    </row>
    <row r="66" spans="1:6" x14ac:dyDescent="0.3">
      <c r="A66" t="s">
        <v>102</v>
      </c>
      <c r="B66" t="s">
        <v>103</v>
      </c>
      <c r="C66" t="s">
        <v>110</v>
      </c>
      <c r="D66" t="s">
        <v>111</v>
      </c>
      <c r="E66" t="s">
        <v>112</v>
      </c>
      <c r="F66" t="s">
        <v>114</v>
      </c>
    </row>
    <row r="67" spans="1:6" x14ac:dyDescent="0.3">
      <c r="A67" t="s">
        <v>104</v>
      </c>
      <c r="B67" t="s">
        <v>103</v>
      </c>
      <c r="C67" t="s">
        <v>110</v>
      </c>
      <c r="D67" t="s">
        <v>111</v>
      </c>
      <c r="E67" t="s">
        <v>112</v>
      </c>
      <c r="F67">
        <f>VLOOKUP(A67,'[1]PARA OC LOGISALUD'!$C$6:$R$45,16,0)</f>
        <v>76</v>
      </c>
    </row>
    <row r="68" spans="1:6" x14ac:dyDescent="0.3">
      <c r="A68" t="s">
        <v>105</v>
      </c>
      <c r="B68" t="s">
        <v>103</v>
      </c>
      <c r="C68" t="s">
        <v>110</v>
      </c>
      <c r="D68" t="s">
        <v>111</v>
      </c>
      <c r="E68" t="s">
        <v>112</v>
      </c>
      <c r="F68" t="s">
        <v>114</v>
      </c>
    </row>
    <row r="69" spans="1:6" x14ac:dyDescent="0.3">
      <c r="A69" t="s">
        <v>106</v>
      </c>
      <c r="B69" t="s">
        <v>103</v>
      </c>
      <c r="C69" t="s">
        <v>110</v>
      </c>
      <c r="D69" t="s">
        <v>111</v>
      </c>
      <c r="E69" t="s">
        <v>112</v>
      </c>
      <c r="F69">
        <f>VLOOKUP(A69,'[1]PARA OC LOGISALUD'!$C$6:$R$45,16,0)</f>
        <v>85</v>
      </c>
    </row>
    <row r="70" spans="1:6" x14ac:dyDescent="0.3">
      <c r="A70" t="s">
        <v>107</v>
      </c>
      <c r="B70" t="s">
        <v>108</v>
      </c>
      <c r="C70" t="s">
        <v>110</v>
      </c>
      <c r="D70" t="s">
        <v>111</v>
      </c>
      <c r="E70" t="s">
        <v>112</v>
      </c>
      <c r="F70">
        <f>VLOOKUP(A70,'[1]PARA OC LOGISALUD'!$C$6:$R$45,16,0)</f>
        <v>79.900000000000006</v>
      </c>
    </row>
    <row r="71" spans="1:6" x14ac:dyDescent="0.3">
      <c r="A71" t="s">
        <v>109</v>
      </c>
      <c r="B71" t="s">
        <v>108</v>
      </c>
      <c r="C71" t="s">
        <v>110</v>
      </c>
      <c r="D71" t="s">
        <v>111</v>
      </c>
      <c r="E71" t="s">
        <v>112</v>
      </c>
      <c r="F71" t="s">
        <v>114</v>
      </c>
    </row>
  </sheetData>
  <autoFilter ref="A1:F71" xr:uid="{55B64A54-1413-4A79-978B-224AE72F0F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C5DC-D66C-497C-B551-CEAFDE055606}">
  <dimension ref="A1:E36"/>
  <sheetViews>
    <sheetView workbookViewId="0">
      <selection activeCell="F5" sqref="F5"/>
    </sheetView>
  </sheetViews>
  <sheetFormatPr baseColWidth="10" defaultRowHeight="14.4" x14ac:dyDescent="0.3"/>
  <cols>
    <col min="1" max="1" width="8.33203125" bestFit="1" customWidth="1"/>
    <col min="3" max="3" width="32.77734375" bestFit="1" customWidth="1"/>
  </cols>
  <sheetData>
    <row r="1" spans="1:5" ht="22.2" thickBot="1" x14ac:dyDescent="0.35">
      <c r="A1" s="2" t="s">
        <v>115</v>
      </c>
      <c r="B1" s="2" t="s">
        <v>116</v>
      </c>
      <c r="C1" s="13" t="s">
        <v>117</v>
      </c>
      <c r="D1" s="19" t="s">
        <v>152</v>
      </c>
      <c r="E1" s="19"/>
    </row>
    <row r="2" spans="1:5" x14ac:dyDescent="0.3">
      <c r="A2" s="3" t="s">
        <v>16</v>
      </c>
      <c r="B2" s="3" t="s">
        <v>11</v>
      </c>
      <c r="C2" s="14" t="s">
        <v>118</v>
      </c>
      <c r="D2" s="20">
        <v>1</v>
      </c>
      <c r="E2" s="20">
        <v>1</v>
      </c>
    </row>
    <row r="3" spans="1:5" x14ac:dyDescent="0.3">
      <c r="A3" s="4" t="s">
        <v>15</v>
      </c>
      <c r="B3" s="4" t="s">
        <v>13</v>
      </c>
      <c r="C3" s="15" t="s">
        <v>118</v>
      </c>
      <c r="D3" s="20">
        <v>1</v>
      </c>
      <c r="E3" s="20">
        <v>1</v>
      </c>
    </row>
    <row r="4" spans="1:5" x14ac:dyDescent="0.3">
      <c r="A4" s="4" t="s">
        <v>84</v>
      </c>
      <c r="B4" s="4" t="s">
        <v>86</v>
      </c>
      <c r="C4" s="15" t="s">
        <v>119</v>
      </c>
      <c r="D4" s="20">
        <v>1</v>
      </c>
      <c r="E4" s="20">
        <v>1</v>
      </c>
    </row>
    <row r="5" spans="1:5" x14ac:dyDescent="0.3">
      <c r="A5" s="5" t="s">
        <v>81</v>
      </c>
      <c r="B5" s="5" t="s">
        <v>83</v>
      </c>
      <c r="C5" s="16" t="s">
        <v>120</v>
      </c>
      <c r="D5" s="20">
        <v>1</v>
      </c>
      <c r="E5" s="20">
        <v>2</v>
      </c>
    </row>
    <row r="6" spans="1:5" x14ac:dyDescent="0.3">
      <c r="A6" s="5" t="s">
        <v>51</v>
      </c>
      <c r="B6" s="5" t="s">
        <v>53</v>
      </c>
      <c r="C6" s="16" t="s">
        <v>121</v>
      </c>
      <c r="D6" s="20">
        <v>1</v>
      </c>
      <c r="E6" s="20">
        <v>1</v>
      </c>
    </row>
    <row r="7" spans="1:5" x14ac:dyDescent="0.3">
      <c r="A7" s="5" t="s">
        <v>31</v>
      </c>
      <c r="B7" s="5" t="s">
        <v>29</v>
      </c>
      <c r="C7" s="16" t="s">
        <v>122</v>
      </c>
      <c r="D7" s="20">
        <v>1</v>
      </c>
      <c r="E7" s="20">
        <v>1</v>
      </c>
    </row>
    <row r="8" spans="1:5" x14ac:dyDescent="0.3">
      <c r="A8" s="5" t="s">
        <v>26</v>
      </c>
      <c r="B8" s="5" t="s">
        <v>28</v>
      </c>
      <c r="C8" s="16" t="s">
        <v>123</v>
      </c>
      <c r="D8" s="20">
        <v>1</v>
      </c>
      <c r="E8" s="20">
        <v>0</v>
      </c>
    </row>
    <row r="9" spans="1:5" x14ac:dyDescent="0.3">
      <c r="A9" s="5" t="s">
        <v>32</v>
      </c>
      <c r="B9" s="5" t="s">
        <v>34</v>
      </c>
      <c r="C9" s="16" t="s">
        <v>124</v>
      </c>
      <c r="D9" s="20">
        <v>1</v>
      </c>
      <c r="E9" s="20">
        <v>1</v>
      </c>
    </row>
    <row r="10" spans="1:5" x14ac:dyDescent="0.3">
      <c r="A10" s="5" t="s">
        <v>59</v>
      </c>
      <c r="B10" s="5" t="s">
        <v>57</v>
      </c>
      <c r="C10" s="16" t="s">
        <v>125</v>
      </c>
      <c r="D10" s="20">
        <v>1</v>
      </c>
      <c r="E10" s="20">
        <v>1</v>
      </c>
    </row>
    <row r="11" spans="1:5" x14ac:dyDescent="0.3">
      <c r="A11" s="6" t="s">
        <v>60</v>
      </c>
      <c r="B11" s="6" t="s">
        <v>62</v>
      </c>
      <c r="C11" s="17" t="s">
        <v>126</v>
      </c>
      <c r="D11" s="20">
        <v>1</v>
      </c>
      <c r="E11" s="20">
        <v>1</v>
      </c>
    </row>
    <row r="12" spans="1:5" x14ac:dyDescent="0.3">
      <c r="A12" s="7" t="s">
        <v>107</v>
      </c>
      <c r="B12" s="7" t="s">
        <v>109</v>
      </c>
      <c r="C12" s="18" t="s">
        <v>127</v>
      </c>
      <c r="D12" s="20">
        <v>1</v>
      </c>
      <c r="E12" s="20">
        <v>1</v>
      </c>
    </row>
    <row r="13" spans="1:5" x14ac:dyDescent="0.3">
      <c r="A13" s="5" t="s">
        <v>106</v>
      </c>
      <c r="B13" s="5" t="s">
        <v>105</v>
      </c>
      <c r="C13" s="16" t="s">
        <v>128</v>
      </c>
      <c r="D13" s="20">
        <v>1</v>
      </c>
      <c r="E13" s="20">
        <v>1</v>
      </c>
    </row>
    <row r="14" spans="1:5" x14ac:dyDescent="0.3">
      <c r="A14" s="5" t="s">
        <v>104</v>
      </c>
      <c r="B14" s="5" t="s">
        <v>102</v>
      </c>
      <c r="C14" s="16" t="s">
        <v>129</v>
      </c>
      <c r="D14" s="20">
        <v>1</v>
      </c>
      <c r="E14" s="20">
        <v>1</v>
      </c>
    </row>
    <row r="15" spans="1:5" x14ac:dyDescent="0.3">
      <c r="A15" s="5" t="s">
        <v>18</v>
      </c>
      <c r="B15" s="5" t="s">
        <v>20</v>
      </c>
      <c r="C15" s="16" t="s">
        <v>130</v>
      </c>
      <c r="D15" s="20">
        <v>1</v>
      </c>
      <c r="E15" s="20">
        <v>1</v>
      </c>
    </row>
    <row r="16" spans="1:5" x14ac:dyDescent="0.3">
      <c r="A16" s="6" t="s">
        <v>41</v>
      </c>
      <c r="B16" s="6" t="s">
        <v>43</v>
      </c>
      <c r="C16" s="17" t="s">
        <v>131</v>
      </c>
      <c r="D16" s="20">
        <v>1</v>
      </c>
      <c r="E16" s="20">
        <v>0</v>
      </c>
    </row>
    <row r="17" spans="1:5" x14ac:dyDescent="0.3">
      <c r="A17" s="8" t="s">
        <v>40</v>
      </c>
      <c r="B17" s="8" t="s">
        <v>38</v>
      </c>
      <c r="C17" s="18" t="s">
        <v>132</v>
      </c>
      <c r="D17" s="20">
        <v>1</v>
      </c>
      <c r="E17" s="20">
        <v>1</v>
      </c>
    </row>
    <row r="18" spans="1:5" x14ac:dyDescent="0.3">
      <c r="A18" s="9" t="s">
        <v>71</v>
      </c>
      <c r="B18" s="9" t="s">
        <v>69</v>
      </c>
      <c r="C18" s="16" t="s">
        <v>133</v>
      </c>
      <c r="D18" s="20">
        <v>1</v>
      </c>
      <c r="E18" s="20">
        <v>1</v>
      </c>
    </row>
    <row r="19" spans="1:5" x14ac:dyDescent="0.3">
      <c r="A19" s="9" t="s">
        <v>72</v>
      </c>
      <c r="B19" s="9" t="s">
        <v>74</v>
      </c>
      <c r="C19" s="16" t="s">
        <v>134</v>
      </c>
      <c r="D19" s="20">
        <v>1</v>
      </c>
      <c r="E19" s="20">
        <v>1</v>
      </c>
    </row>
    <row r="20" spans="1:5" x14ac:dyDescent="0.3">
      <c r="A20" s="9" t="s">
        <v>77</v>
      </c>
      <c r="B20" s="9" t="s">
        <v>75</v>
      </c>
      <c r="C20" s="16" t="s">
        <v>135</v>
      </c>
      <c r="D20" s="20">
        <v>1</v>
      </c>
      <c r="E20" s="20">
        <v>1</v>
      </c>
    </row>
    <row r="21" spans="1:5" x14ac:dyDescent="0.3">
      <c r="A21" s="9" t="s">
        <v>78</v>
      </c>
      <c r="B21" s="9" t="s">
        <v>80</v>
      </c>
      <c r="C21" s="16" t="s">
        <v>136</v>
      </c>
      <c r="D21" s="20">
        <v>1</v>
      </c>
      <c r="E21" s="20">
        <v>1</v>
      </c>
    </row>
    <row r="22" spans="1:5" x14ac:dyDescent="0.3">
      <c r="A22" s="9" t="s">
        <v>93</v>
      </c>
      <c r="B22" s="9" t="s">
        <v>95</v>
      </c>
      <c r="C22" s="16" t="s">
        <v>137</v>
      </c>
      <c r="D22" s="20">
        <v>1</v>
      </c>
      <c r="E22" s="20">
        <v>1</v>
      </c>
    </row>
    <row r="23" spans="1:5" x14ac:dyDescent="0.3">
      <c r="A23" s="9" t="s">
        <v>96</v>
      </c>
      <c r="B23" s="9" t="s">
        <v>98</v>
      </c>
      <c r="C23" s="16" t="s">
        <v>138</v>
      </c>
      <c r="D23" s="20">
        <v>1</v>
      </c>
      <c r="E23" s="20">
        <v>1</v>
      </c>
    </row>
    <row r="24" spans="1:5" x14ac:dyDescent="0.3">
      <c r="A24" s="9" t="s">
        <v>99</v>
      </c>
      <c r="B24" s="9" t="s">
        <v>101</v>
      </c>
      <c r="C24" s="16" t="s">
        <v>139</v>
      </c>
      <c r="D24" s="20">
        <v>1</v>
      </c>
      <c r="E24" s="20">
        <v>1</v>
      </c>
    </row>
    <row r="25" spans="1:5" x14ac:dyDescent="0.3">
      <c r="A25" s="9" t="s">
        <v>87</v>
      </c>
      <c r="B25" s="9" t="s">
        <v>89</v>
      </c>
      <c r="C25" s="16" t="s">
        <v>140</v>
      </c>
      <c r="D25" s="20">
        <v>1</v>
      </c>
      <c r="E25" s="20">
        <v>1</v>
      </c>
    </row>
    <row r="26" spans="1:5" x14ac:dyDescent="0.3">
      <c r="A26" s="9" t="s">
        <v>90</v>
      </c>
      <c r="B26" s="9" t="s">
        <v>92</v>
      </c>
      <c r="C26" s="16" t="s">
        <v>141</v>
      </c>
      <c r="D26" s="20">
        <v>1</v>
      </c>
      <c r="E26" s="20">
        <v>1</v>
      </c>
    </row>
    <row r="27" spans="1:5" x14ac:dyDescent="0.3">
      <c r="A27" s="9" t="s">
        <v>65</v>
      </c>
      <c r="B27" s="9" t="s">
        <v>63</v>
      </c>
      <c r="C27" s="16" t="s">
        <v>142</v>
      </c>
      <c r="D27" s="20">
        <v>2</v>
      </c>
      <c r="E27" s="20">
        <v>1</v>
      </c>
    </row>
    <row r="28" spans="1:5" x14ac:dyDescent="0.3">
      <c r="A28" s="9" t="s">
        <v>68</v>
      </c>
      <c r="B28" s="9" t="s">
        <v>66</v>
      </c>
      <c r="C28" s="16" t="s">
        <v>143</v>
      </c>
      <c r="D28" s="20">
        <v>2</v>
      </c>
      <c r="E28" s="20">
        <v>1</v>
      </c>
    </row>
    <row r="29" spans="1:5" x14ac:dyDescent="0.3">
      <c r="A29" s="9" t="s">
        <v>56</v>
      </c>
      <c r="B29" s="9" t="s">
        <v>54</v>
      </c>
      <c r="C29" s="16" t="s">
        <v>144</v>
      </c>
      <c r="D29" s="20">
        <v>1</v>
      </c>
      <c r="E29" s="20">
        <v>0</v>
      </c>
    </row>
    <row r="30" spans="1:5" x14ac:dyDescent="0.3">
      <c r="A30" s="9" t="s">
        <v>25</v>
      </c>
      <c r="B30" s="9" t="s">
        <v>23</v>
      </c>
      <c r="C30" s="16" t="s">
        <v>145</v>
      </c>
      <c r="D30" s="20">
        <v>1</v>
      </c>
      <c r="E30" s="20">
        <v>0</v>
      </c>
    </row>
    <row r="31" spans="1:5" x14ac:dyDescent="0.3">
      <c r="A31" s="9" t="s">
        <v>37</v>
      </c>
      <c r="B31" s="9" t="s">
        <v>35</v>
      </c>
      <c r="C31" s="16" t="s">
        <v>146</v>
      </c>
      <c r="D31" s="20">
        <v>1</v>
      </c>
      <c r="E31" s="20">
        <v>0</v>
      </c>
    </row>
    <row r="32" spans="1:5" x14ac:dyDescent="0.3">
      <c r="A32" s="9" t="s">
        <v>7</v>
      </c>
      <c r="B32" s="9" t="s">
        <v>5</v>
      </c>
      <c r="C32" s="16" t="s">
        <v>147</v>
      </c>
      <c r="D32" s="20">
        <v>1</v>
      </c>
      <c r="E32" s="20">
        <v>0</v>
      </c>
    </row>
    <row r="33" spans="1:5" x14ac:dyDescent="0.3">
      <c r="A33" s="10" t="s">
        <v>8</v>
      </c>
      <c r="B33" s="10" t="s">
        <v>10</v>
      </c>
      <c r="C33" s="17" t="s">
        <v>148</v>
      </c>
      <c r="D33" s="20">
        <v>1</v>
      </c>
      <c r="E33" s="20">
        <v>0</v>
      </c>
    </row>
    <row r="34" spans="1:5" x14ac:dyDescent="0.3">
      <c r="A34" s="11" t="s">
        <v>21</v>
      </c>
      <c r="B34" s="11" t="s">
        <v>44</v>
      </c>
      <c r="C34" s="14" t="s">
        <v>149</v>
      </c>
      <c r="D34" s="20">
        <v>1</v>
      </c>
      <c r="E34" s="20">
        <v>1</v>
      </c>
    </row>
    <row r="35" spans="1:5" x14ac:dyDescent="0.3">
      <c r="A35" s="12" t="s">
        <v>47</v>
      </c>
      <c r="B35" s="12" t="s">
        <v>45</v>
      </c>
      <c r="C35" s="15" t="s">
        <v>150</v>
      </c>
      <c r="D35" s="20">
        <v>1</v>
      </c>
      <c r="E35" s="20">
        <v>1</v>
      </c>
    </row>
    <row r="36" spans="1:5" x14ac:dyDescent="0.3">
      <c r="A36" s="12" t="s">
        <v>50</v>
      </c>
      <c r="B36" s="12" t="s">
        <v>48</v>
      </c>
      <c r="C36" s="15" t="s">
        <v>151</v>
      </c>
      <c r="D36" s="20">
        <v>1</v>
      </c>
      <c r="E36" s="20">
        <v>1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PROMOS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Romero Velasquez</dc:creator>
  <cp:lastModifiedBy>Andres Romero Velasquez</cp:lastModifiedBy>
  <dcterms:created xsi:type="dcterms:W3CDTF">2026-10-09T14:45:21Z</dcterms:created>
  <dcterms:modified xsi:type="dcterms:W3CDTF">2026-10-09T14:53:17Z</dcterms:modified>
</cp:coreProperties>
</file>