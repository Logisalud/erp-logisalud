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RomeroVelasque\Downloads\"/>
    </mc:Choice>
  </mc:AlternateContent>
  <xr:revisionPtr revIDLastSave="0" documentId="13_ncr:1_{CE24C9EA-680B-4360-B3B4-C27C660AB2A4}" xr6:coauthVersionLast="47" xr6:coauthVersionMax="47" xr10:uidLastSave="{00000000-0000-0000-0000-000000000000}"/>
  <bookViews>
    <workbookView xWindow="-120" yWindow="-120" windowWidth="29040" windowHeight="15720" xr2:uid="{7F95442D-C949-46D5-B95A-9880EE99C7AE}"/>
  </bookViews>
  <sheets>
    <sheet name="LISTA_PRECIOS_2026" sheetId="5" r:id="rId1"/>
    <sheet name="LISTA_PRECIOS_DIC2025_DICAR" sheetId="15" state="hidden" r:id="rId2"/>
  </sheets>
  <definedNames>
    <definedName name="_xlnm._FilterDatabase" localSheetId="0" hidden="1">LISTA_PRECIOS_2026!$A$1:$Z$54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4" i="5" l="1"/>
  <c r="S42" i="5"/>
  <c r="S36" i="5"/>
  <c r="S21" i="5"/>
  <c r="S20" i="5"/>
  <c r="S23" i="5"/>
  <c r="S25" i="5"/>
  <c r="S17" i="5"/>
  <c r="S14" i="5"/>
  <c r="S6" i="5"/>
  <c r="S5" i="5"/>
  <c r="S3" i="5"/>
  <c r="S4" i="5"/>
  <c r="W7" i="5"/>
  <c r="S8" i="5"/>
  <c r="S9" i="5"/>
  <c r="S10" i="5"/>
  <c r="S16" i="5"/>
  <c r="W29" i="5"/>
  <c r="S30" i="5"/>
  <c r="W49" i="5"/>
  <c r="W50" i="5"/>
  <c r="W51" i="5"/>
  <c r="W52" i="5"/>
  <c r="W53" i="5"/>
  <c r="AD29" i="5" l="1"/>
  <c r="AD51" i="5" l="1"/>
  <c r="Z9" i="5"/>
  <c r="Z8" i="5"/>
  <c r="AD7" i="5"/>
  <c r="Z10" i="5"/>
  <c r="AD49" i="5"/>
  <c r="AD50" i="5"/>
  <c r="AD52" i="5"/>
  <c r="AD5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Gonzales</author>
  </authors>
  <commentList>
    <comment ref="B1" authorId="0" shapeId="0" xr:uid="{38FA5B2B-564F-6A40-8ABB-C2E9D272F2B1}">
      <text>
        <r>
          <rPr>
            <sz val="10"/>
            <color rgb="FF000000"/>
            <rFont val="Tahoma"/>
            <family val="2"/>
          </rPr>
          <t xml:space="preserve">1= Variación de precio
</t>
        </r>
        <r>
          <rPr>
            <sz val="10"/>
            <color rgb="FF000000"/>
            <rFont val="Tahoma"/>
            <family val="2"/>
          </rPr>
          <t xml:space="preserve">2= Próximo ingreso en el año
</t>
        </r>
        <r>
          <rPr>
            <sz val="10"/>
            <color rgb="FF000000"/>
            <rFont val="Tahoma"/>
            <family val="2"/>
          </rPr>
          <t xml:space="preserve">3= Producto nuevo del mes o sin ingreso al socio
</t>
        </r>
        <r>
          <rPr>
            <sz val="10"/>
            <color rgb="FF000000"/>
            <rFont val="Tahoma"/>
            <family val="2"/>
          </rPr>
          <t xml:space="preserve">4= Sin stock en Diphasac
</t>
        </r>
        <r>
          <rPr>
            <sz val="10"/>
            <color rgb="FF000000"/>
            <rFont val="Tahoma"/>
            <family val="2"/>
          </rPr>
          <t xml:space="preserve">5= Se dejará de comercializar
</t>
        </r>
        <r>
          <rPr>
            <sz val="10"/>
            <color rgb="FF000000"/>
            <rFont val="Tahoma"/>
            <family val="2"/>
          </rPr>
          <t>6=Exclusivo para otro canal</t>
        </r>
      </text>
    </comment>
  </commentList>
</comments>
</file>

<file path=xl/sharedStrings.xml><?xml version="1.0" encoding="utf-8"?>
<sst xmlns="http://schemas.openxmlformats.org/spreadsheetml/2006/main" count="603" uniqueCount="362">
  <si>
    <t>CÓDIGO DIPHASAC</t>
  </si>
  <si>
    <t>OBS.</t>
  </si>
  <si>
    <t>MASTER PACK</t>
  </si>
  <si>
    <t>PRODUCTO</t>
  </si>
  <si>
    <t>PRINCIPIO ACTIVO</t>
  </si>
  <si>
    <t xml:space="preserve">PRESENTACIÓN </t>
  </si>
  <si>
    <t>VVF (Sin IGV)</t>
  </si>
  <si>
    <t>VVD (SIN IGV)</t>
  </si>
  <si>
    <t>IGV (18%)</t>
  </si>
  <si>
    <t>FECHA V.</t>
  </si>
  <si>
    <t>PVF A DISTRIBUIDORA 2026</t>
  </si>
  <si>
    <t>PVF INSTITUCIONES</t>
  </si>
  <si>
    <t>PVF SUBDISTRIBUIDORAS/MINICADENAS</t>
  </si>
  <si>
    <t>PVF MAYORISTA/TOP</t>
  </si>
  <si>
    <t>PVF FARMA</t>
  </si>
  <si>
    <t>MARGEN X PRODUCTO</t>
  </si>
  <si>
    <t>ESCALA PARA HORIZONTALIDAD</t>
  </si>
  <si>
    <t>% DCTO</t>
  </si>
  <si>
    <t>PRECIO PROMOCIONAL</t>
  </si>
  <si>
    <t>PROMOS VÍA BONIFICACIÓN</t>
  </si>
  <si>
    <t>ESCALA PARA MAYORISTA/SUBDISTRIBUIDORA</t>
  </si>
  <si>
    <t>RX101-056</t>
  </si>
  <si>
    <t>DAPHA 10</t>
  </si>
  <si>
    <t>DAPAGLIFOZINA + METFORMINA</t>
  </si>
  <si>
    <t>10MG CAJA x 30 TAB RECUB.</t>
  </si>
  <si>
    <t>-</t>
  </si>
  <si>
    <t>RX101-057</t>
  </si>
  <si>
    <t>DUO DAPHA 5</t>
  </si>
  <si>
    <t>5MG/1000MG CAJA x 30 TAB RECUB.</t>
  </si>
  <si>
    <t>+</t>
  </si>
  <si>
    <t>RX101-058</t>
  </si>
  <si>
    <t>DUO DAPHA 10</t>
  </si>
  <si>
    <t>10MG/1000MG CAJA x 30 TAB RECUB.</t>
  </si>
  <si>
    <t>RX101-071</t>
  </si>
  <si>
    <t>GLICOFAST 1000</t>
  </si>
  <si>
    <t>METFORMINA CLORHIDRATO</t>
  </si>
  <si>
    <t>1000MG CJA X 30 TAB. LIB. PROL.</t>
  </si>
  <si>
    <t>RX101-072</t>
  </si>
  <si>
    <t>JAMOL 5</t>
  </si>
  <si>
    <t>LINAGLIPTINA 5 MG</t>
  </si>
  <si>
    <t>5MG CJA X 30 TAB. REC.</t>
  </si>
  <si>
    <t>Ago-2027</t>
  </si>
  <si>
    <t>OT100-001</t>
  </si>
  <si>
    <t>DIPHADIC LONG 2%</t>
  </si>
  <si>
    <t>DICLOFENACO DE SODIO</t>
  </si>
  <si>
    <t>GEL x 50GRS x 01 TUBO</t>
  </si>
  <si>
    <t>OT100-017</t>
  </si>
  <si>
    <t>DIPHANATUR 300</t>
  </si>
  <si>
    <t>SILIMARINA</t>
  </si>
  <si>
    <t>300MG CAJA x 60 CÁPS. BLANDA</t>
  </si>
  <si>
    <t>DE 1 A MÁS CAJAS</t>
  </si>
  <si>
    <t>DE 10 A MAS CAJAS</t>
  </si>
  <si>
    <t>OT100-018</t>
  </si>
  <si>
    <t>DIPHANATUR 500</t>
  </si>
  <si>
    <t>500MG CAJA x 30 CÁPS. BLANDA</t>
  </si>
  <si>
    <t>OT100-013</t>
  </si>
  <si>
    <t>DIPHANATUR FORTE</t>
  </si>
  <si>
    <t>SILIMARINA + COMPLEJO B</t>
  </si>
  <si>
    <t>150MG CAJA x 100 CÁPS. BLANDA</t>
  </si>
  <si>
    <t>OT100-022</t>
  </si>
  <si>
    <t>GRIPAMAX</t>
  </si>
  <si>
    <t>PARACETAMOL + BROMHIDRATO DE DEXTROMETORFANO + CLORHIDRATO DE FENILEFRINA</t>
  </si>
  <si>
    <t>CAJA x 120 CÁPS. BLANDA</t>
  </si>
  <si>
    <t>CP103-008</t>
  </si>
  <si>
    <t>TERMÓMETRO DIGITAL</t>
  </si>
  <si>
    <t>CAJA x 1 UND</t>
  </si>
  <si>
    <t>OT100-016</t>
  </si>
  <si>
    <t>HEMZON</t>
  </si>
  <si>
    <t xml:space="preserve">RUSCUS ACULEATUS </t>
  </si>
  <si>
    <t>20MG CAJA x 100 TAB MASTICABLE</t>
  </si>
  <si>
    <t>OT100-024</t>
  </si>
  <si>
    <t xml:space="preserve">IBUCALM </t>
  </si>
  <si>
    <t>IBUPROFENO 200MG</t>
  </si>
  <si>
    <t>CAJA x 100 CÁPS. BLANDA</t>
  </si>
  <si>
    <t>OT100-003</t>
  </si>
  <si>
    <t>NAYFLEX MUJER</t>
  </si>
  <si>
    <t>IBUPROFENO</t>
  </si>
  <si>
    <t>200MG CAJA x 100 CÁPS. BLANDA</t>
  </si>
  <si>
    <t>OT100-020</t>
  </si>
  <si>
    <t>PROSTAMICIL</t>
  </si>
  <si>
    <t>SERENOA REPENS</t>
  </si>
  <si>
    <t>320MG CAJA x 30 CÁPS. BLANDA</t>
  </si>
  <si>
    <t>OT100-023</t>
  </si>
  <si>
    <t xml:space="preserve">VITAMINA E </t>
  </si>
  <si>
    <t>VITAMINA E</t>
  </si>
  <si>
    <t>400UI CAJA x 30 CÁPS. BLANDA</t>
  </si>
  <si>
    <t>RX101-034</t>
  </si>
  <si>
    <t xml:space="preserve">A - FIEBRIN </t>
  </si>
  <si>
    <t>METAMIZOL</t>
  </si>
  <si>
    <t>1G/2ML CAJA x 1 AMP.</t>
  </si>
  <si>
    <t>RX101-027</t>
  </si>
  <si>
    <t xml:space="preserve">D - CORT 4 </t>
  </si>
  <si>
    <t>DEXAMETASONA</t>
  </si>
  <si>
    <t>4MG/2ML CAJA x 1 AMP.</t>
  </si>
  <si>
    <t>RX101-002</t>
  </si>
  <si>
    <t xml:space="preserve">DIPHACOXIB </t>
  </si>
  <si>
    <t>CELECOXIB</t>
  </si>
  <si>
    <t>400MG CAJA x 30 CAPS.</t>
  </si>
  <si>
    <t>RX101-073</t>
  </si>
  <si>
    <t xml:space="preserve">DIPHADIC LONG </t>
  </si>
  <si>
    <t>100MG CAJA x 100 CÁPS. LIB. PROL.</t>
  </si>
  <si>
    <t>RX101-040</t>
  </si>
  <si>
    <t>INY 75MG x 3ML CAJA x 1 AMP.</t>
  </si>
  <si>
    <t>RX101-059</t>
  </si>
  <si>
    <t xml:space="preserve">DIPHARELAX </t>
  </si>
  <si>
    <t>CITRATO DE ORFENADRINA</t>
  </si>
  <si>
    <t>100MG CAJA x 100 TAB LIB. PROL.</t>
  </si>
  <si>
    <t>RX101-014</t>
  </si>
  <si>
    <t>DIPHAXAMICO</t>
  </si>
  <si>
    <t>ACIDO TRANEXAMICO</t>
  </si>
  <si>
    <t>1GR X 10ML SOL. INY. CAJA x 01 AMP.</t>
  </si>
  <si>
    <t>RX101-078</t>
  </si>
  <si>
    <t>DRAVOM</t>
  </si>
  <si>
    <t xml:space="preserve">DIMENHIDRINATO </t>
  </si>
  <si>
    <t>50MG/ 5ML CAJA X 1 AMP.</t>
  </si>
  <si>
    <t>RX101-062</t>
  </si>
  <si>
    <t>HIERROMAX</t>
  </si>
  <si>
    <t>HIERRO POLIMALTOSADO</t>
  </si>
  <si>
    <t>50MG/ 5ML FCO x 150ML</t>
  </si>
  <si>
    <t>RX101-061</t>
  </si>
  <si>
    <t>IBUCALM FORTE</t>
  </si>
  <si>
    <t>IBUPROFENO 400MG</t>
  </si>
  <si>
    <t>RX101-054</t>
  </si>
  <si>
    <t>IBUCALM DUO</t>
  </si>
  <si>
    <t>IBUPROFENO 200MG + PARACETAMOL 500MG</t>
  </si>
  <si>
    <t>RX101-028</t>
  </si>
  <si>
    <t>KETOMAX 60</t>
  </si>
  <si>
    <t>KETOROLACO</t>
  </si>
  <si>
    <t>60MG/ 2ML CAJA x 1 AMP.</t>
  </si>
  <si>
    <t>RX101-042</t>
  </si>
  <si>
    <t>MUCOFLUX 200MG</t>
  </si>
  <si>
    <t>ACETILCISTEINA</t>
  </si>
  <si>
    <t>200MG CAJA x 30 SOBRES</t>
  </si>
  <si>
    <t>RX101-043</t>
  </si>
  <si>
    <t>MUCOFLUX 600MG</t>
  </si>
  <si>
    <t xml:space="preserve">600MG CAJA x 30 SOBRES  </t>
  </si>
  <si>
    <t>XX105-023</t>
  </si>
  <si>
    <t>TEZEN 400</t>
  </si>
  <si>
    <t>ALBENDAZOL</t>
  </si>
  <si>
    <t>400MG CAJA x 50 TAB. MASTICABLES</t>
  </si>
  <si>
    <t>GX102-033</t>
  </si>
  <si>
    <t>ÁCIDO TRANEXAMICO</t>
  </si>
  <si>
    <t>1G/10 ML CAJA x 50 AMP</t>
  </si>
  <si>
    <t>GX102-045</t>
  </si>
  <si>
    <t>GX102-040</t>
  </si>
  <si>
    <t>ATROPINA</t>
  </si>
  <si>
    <t>ATROPINA SULFATO</t>
  </si>
  <si>
    <t>100MG x 10 AMP.</t>
  </si>
  <si>
    <t>GX102-038</t>
  </si>
  <si>
    <t>400 MG x CAJA x 50 CAP</t>
  </si>
  <si>
    <t>GX102-024</t>
  </si>
  <si>
    <t>CLORFENAMINA</t>
  </si>
  <si>
    <t>10MG x 1ML CAJA x 10 AMP</t>
  </si>
  <si>
    <t>GX102-027</t>
  </si>
  <si>
    <t xml:space="preserve">DEXAMETASONA FOSFATO </t>
  </si>
  <si>
    <t>4MG/2ML CAJA x 50 AMP.</t>
  </si>
  <si>
    <t>GX102-028</t>
  </si>
  <si>
    <t>DIMENHIDRINATO</t>
  </si>
  <si>
    <t>50MG/5ML CAJA x 10 AMP.</t>
  </si>
  <si>
    <t>GX102-013</t>
  </si>
  <si>
    <t xml:space="preserve">DICLOFENACO </t>
  </si>
  <si>
    <t>DICLOFENACO SÓDICO</t>
  </si>
  <si>
    <t>100MG CAJA x 100 CAP LIB. PROL.</t>
  </si>
  <si>
    <t>GX102-026</t>
  </si>
  <si>
    <t>INY 75 MG x 3 ML CAJA x 50 AMP</t>
  </si>
  <si>
    <t>GX102-031</t>
  </si>
  <si>
    <t>ESOMEPRAZOL</t>
  </si>
  <si>
    <t>20MG CAJA x 30  TABLETAS COMP.</t>
  </si>
  <si>
    <t>GX102-002</t>
  </si>
  <si>
    <t>FENITOINA</t>
  </si>
  <si>
    <t>FENITOINA DE SODIO</t>
  </si>
  <si>
    <t>100MG CAJA x 100 TAB.</t>
  </si>
  <si>
    <t>GX102-025</t>
  </si>
  <si>
    <t>1GR x 2 ML CAJA x 50 AMP</t>
  </si>
  <si>
    <t>GX102-048</t>
  </si>
  <si>
    <t xml:space="preserve">METFORMINA </t>
  </si>
  <si>
    <t>1000 MG CAJA x 30 TAB. LIB. PROL.</t>
  </si>
  <si>
    <t>GX102-036</t>
  </si>
  <si>
    <t xml:space="preserve">OMEPRAZOL </t>
  </si>
  <si>
    <t>OMEPRAZOL</t>
  </si>
  <si>
    <t>40MG CAJA X 10 VIALES</t>
  </si>
  <si>
    <t>GX102-019</t>
  </si>
  <si>
    <t>ORFENADRINA</t>
  </si>
  <si>
    <t>ORFENADRINA CITRATO</t>
  </si>
  <si>
    <t>GX102-005</t>
  </si>
  <si>
    <t>60MG/2ML CAJA x 100 AMP.</t>
  </si>
  <si>
    <t>CP103-011</t>
  </si>
  <si>
    <t>GASA</t>
  </si>
  <si>
    <t>ESTÉRIL X 50 SOBRES 7.5CM X 7.5CM</t>
  </si>
  <si>
    <t>CP103-012</t>
  </si>
  <si>
    <t>ESTÉRIL X 50 SOBRES 10CM X 10CM</t>
  </si>
  <si>
    <t>CP103-010</t>
  </si>
  <si>
    <t>ESTÉRIL X 50 SOBRES 5CM X 5CM</t>
  </si>
  <si>
    <t>CP103-003</t>
  </si>
  <si>
    <t>NADO</t>
  </si>
  <si>
    <t>BASTONES FLEXIBLES CON PUNTA DE ALGODÓN</t>
  </si>
  <si>
    <t xml:space="preserve">CAJA x 200 </t>
  </si>
  <si>
    <t>CP103-006</t>
  </si>
  <si>
    <t>BASTONES BIODEGRADABLE CON PUNTA DE ALGODÓN</t>
  </si>
  <si>
    <t>CP103-007</t>
  </si>
  <si>
    <t xml:space="preserve">CAJA x 500 </t>
  </si>
  <si>
    <t>Leyenda:</t>
  </si>
  <si>
    <t>(1) Variación de precio</t>
  </si>
  <si>
    <t>(2) Próximo ingreso en el año</t>
  </si>
  <si>
    <t>(3) Producto nuevo del mes o sin ingreso al socio</t>
  </si>
  <si>
    <t>(4) Sin stock en Diphasac</t>
  </si>
  <si>
    <t>(5) Se dejará de comercializar</t>
  </si>
  <si>
    <t>(6) Exclusivo para un canal</t>
  </si>
  <si>
    <t>VVF "Valor de venta final"</t>
  </si>
  <si>
    <t>PVF "Precio de venta final"</t>
  </si>
  <si>
    <t>VVD "Valor de venta a Distribuidora"</t>
  </si>
  <si>
    <t>FECHA V "Fecha de vencimiento"</t>
  </si>
  <si>
    <t>CÓDIGO DIPHA</t>
  </si>
  <si>
    <t xml:space="preserve">PRESENTACION </t>
  </si>
  <si>
    <t>VVF</t>
  </si>
  <si>
    <t>VVD</t>
  </si>
  <si>
    <t>IGV 18%</t>
  </si>
  <si>
    <t>Precio Distribuidora</t>
  </si>
  <si>
    <t>Pv Instituciones</t>
  </si>
  <si>
    <t>PV Mayorista/top</t>
  </si>
  <si>
    <t>PV Farma</t>
  </si>
  <si>
    <t>400 MG x 30 CÁPSULAS</t>
  </si>
  <si>
    <t>RX101-003</t>
  </si>
  <si>
    <t>DIPHACORTEN 5</t>
  </si>
  <si>
    <t>PREDNISOLONA FOSFATO</t>
  </si>
  <si>
    <t>5 MG / 5 ML  x 120 ML SOL</t>
  </si>
  <si>
    <t>RX101-004</t>
  </si>
  <si>
    <t>DIPHACORTEN 15</t>
  </si>
  <si>
    <t>15 MG / 5 ML  x 120 ML SOL</t>
  </si>
  <si>
    <t>RX101-007</t>
  </si>
  <si>
    <t>DIVALPRID 500</t>
  </si>
  <si>
    <t>VALPROATO SEMISODICO</t>
  </si>
  <si>
    <t>500 MG x 100 TAB LP</t>
  </si>
  <si>
    <t>1 GR x 10 ML SOL. INY. X 01 AMP</t>
  </si>
  <si>
    <t>RX101-015</t>
  </si>
  <si>
    <t>DIPHAPASMOL</t>
  </si>
  <si>
    <t>BROMURO DE OTILONIO</t>
  </si>
  <si>
    <t>40 MG x 30 TAB. REC.</t>
  </si>
  <si>
    <t>RX101-023</t>
  </si>
  <si>
    <t>D - CORT 8</t>
  </si>
  <si>
    <t>8 MG/ 2 ML CJA X 1 AMP.</t>
  </si>
  <si>
    <t>RX101-025</t>
  </si>
  <si>
    <t>ALLER - CLORT</t>
  </si>
  <si>
    <t>10 MG X 1 ML CJA X 1 AMP</t>
  </si>
  <si>
    <t>4 MG/ 2 ML CJA X 1 AMP.</t>
  </si>
  <si>
    <t>60 MG/ 2ML CJA X 1 AMP.</t>
  </si>
  <si>
    <t>RX101-029</t>
  </si>
  <si>
    <t xml:space="preserve">DUOCLAMOX </t>
  </si>
  <si>
    <t>AMOXICILINA + AC. CLAVULÁNICO</t>
  </si>
  <si>
    <t>500MG + 125MG X 10 TAB. REC.</t>
  </si>
  <si>
    <t>RX101-030</t>
  </si>
  <si>
    <t>BROLAXIL 5</t>
  </si>
  <si>
    <t>PICOSULFATO SÓDICO</t>
  </si>
  <si>
    <t>5 MG x 100 TABLETAS</t>
  </si>
  <si>
    <t>RX101-033</t>
  </si>
  <si>
    <t>DYOMIN H</t>
  </si>
  <si>
    <t>DIOSMINA + HESPERIDINA</t>
  </si>
  <si>
    <t>450 MG + 50 MG X 30 TAB. REC.</t>
  </si>
  <si>
    <t>1G/ 2 ML CJA X 1 AMP.</t>
  </si>
  <si>
    <t>RX101-031</t>
  </si>
  <si>
    <t>DIPHARELAX PLUS</t>
  </si>
  <si>
    <t>PARACETAMOL + ORFENADRINA</t>
  </si>
  <si>
    <t>450 MG + 35 MG x 100 TAB</t>
  </si>
  <si>
    <t>RX101-038</t>
  </si>
  <si>
    <t>60 MG x 2 ML x 1 AMP</t>
  </si>
  <si>
    <t>INY 75 MG x 3 ML x 1 AMP</t>
  </si>
  <si>
    <t>100 MG CJAX100TAB LIB. PROL.</t>
  </si>
  <si>
    <t>RX101-041</t>
  </si>
  <si>
    <t>MUCOFLUX 100MG</t>
  </si>
  <si>
    <t>ACETILCISTEINA 100MG</t>
  </si>
  <si>
    <t xml:space="preserve">100MG CJA X 30 SOBRES  </t>
  </si>
  <si>
    <t>ACETILCISTEINA 200MG</t>
  </si>
  <si>
    <t xml:space="preserve">200MG CJA X 30 SOBRES  </t>
  </si>
  <si>
    <t>ACETILCISTEINA 600MG</t>
  </si>
  <si>
    <t xml:space="preserve">600MG CJA X 30 SOBRES  </t>
  </si>
  <si>
    <t>RX101-036</t>
  </si>
  <si>
    <t>FEM DAY</t>
  </si>
  <si>
    <t>LEVONORGESTREL</t>
  </si>
  <si>
    <t>1.5 MG CJA X 1 TAB.</t>
  </si>
  <si>
    <t xml:space="preserve"> 50 MG/ 5ML CJA X FCO X 150 ML</t>
  </si>
  <si>
    <t>DRAVON</t>
  </si>
  <si>
    <t xml:space="preserve"> 50MG/5ML CJA X 1 AMPOLLA </t>
  </si>
  <si>
    <t>TEZEN 400 x 50</t>
  </si>
  <si>
    <t>ALBENDAZOL 400MG</t>
  </si>
  <si>
    <t>DAPAGLIFOZINA</t>
  </si>
  <si>
    <t>10mg X 30 TAB RECUB</t>
  </si>
  <si>
    <t>5mg/1000 mg X 30 TAB RECUB.</t>
  </si>
  <si>
    <t>10mg/1000 mg X 30 TAB RECUB.</t>
  </si>
  <si>
    <t>400 UI X 30 CAP. BDA.</t>
  </si>
  <si>
    <t>300 MG x 60 CAPS BLANDA</t>
  </si>
  <si>
    <t>500 MG x 30 CAPS BLANDA</t>
  </si>
  <si>
    <t>150 MG X 100 CAPS BLANDA</t>
  </si>
  <si>
    <t>Paracetamol + Bromhidrato de Dextrometorfano + Clorhidrato de Fenilefrina</t>
  </si>
  <si>
    <t>OT100-008</t>
  </si>
  <si>
    <t>320 MG x 30 CAPS BLANDA</t>
  </si>
  <si>
    <t>OT100-012</t>
  </si>
  <si>
    <t xml:space="preserve">DIPHA ZINC KID </t>
  </si>
  <si>
    <t>ZINC</t>
  </si>
  <si>
    <t>10MG/5ML x 100ML JARABE</t>
  </si>
  <si>
    <t>OT100-009</t>
  </si>
  <si>
    <t>20MG/5ML x 120ML JARABE</t>
  </si>
  <si>
    <t>OT100-011</t>
  </si>
  <si>
    <t>NATUVARIX</t>
  </si>
  <si>
    <t>100 MG x 60 CAPS BLANDA</t>
  </si>
  <si>
    <t>GEL x 50 GRS X 01 TUBO</t>
  </si>
  <si>
    <t>OT100-004</t>
  </si>
  <si>
    <t xml:space="preserve">DYNACAL </t>
  </si>
  <si>
    <t>CARBONATO DE CALCIO</t>
  </si>
  <si>
    <t>1250 MG CAJA X 100 TAB REC.</t>
  </si>
  <si>
    <t>IBUPROFENO 200mg</t>
  </si>
  <si>
    <t>Caja x100 Cápsulas
Blandas</t>
  </si>
  <si>
    <t>IBUPROFENO 400mg</t>
  </si>
  <si>
    <t>IBUCALM</t>
  </si>
  <si>
    <t>IBUPROFENO 200mg + PARACETAMOL 500 mg</t>
  </si>
  <si>
    <t>20 MG x 100 TAB MASTICABLE</t>
  </si>
  <si>
    <t>200 MG CJA X 100 CAP. BDA.</t>
  </si>
  <si>
    <t>CAJA X 1 UND</t>
  </si>
  <si>
    <t>CP103-001</t>
  </si>
  <si>
    <t>CAJA X 100</t>
  </si>
  <si>
    <t>CP103-002</t>
  </si>
  <si>
    <t>BASTONES FLEXIBLES CON TOPE DE ALGODÓN</t>
  </si>
  <si>
    <t xml:space="preserve">CAJA X 100 </t>
  </si>
  <si>
    <t xml:space="preserve">CAJA X 200 </t>
  </si>
  <si>
    <t>CP103-004</t>
  </si>
  <si>
    <t xml:space="preserve">CAJA X 500 </t>
  </si>
  <si>
    <t>CP103-005</t>
  </si>
  <si>
    <t xml:space="preserve">Gasa  Esteril </t>
  </si>
  <si>
    <t xml:space="preserve">Caja 50 sobres 5cm x 5cm </t>
  </si>
  <si>
    <t xml:space="preserve">Caja 50 sobres 7.5cm x 7.5cm </t>
  </si>
  <si>
    <t xml:space="preserve">Caja x 50 sobres 10cm x 10cm </t>
  </si>
  <si>
    <t>100 MG x 10 AMP</t>
  </si>
  <si>
    <t>100 MG x 100 TAB</t>
  </si>
  <si>
    <t>GX102-004</t>
  </si>
  <si>
    <t>20 MG  x 100 CAP LR</t>
  </si>
  <si>
    <t>INY 75 MG x 3 ML x 50 AMP</t>
  </si>
  <si>
    <t>GX102-008</t>
  </si>
  <si>
    <t>MOXIFLOXACINO</t>
  </si>
  <si>
    <t>400 MG x 5 TAB RECUBIERTA</t>
  </si>
  <si>
    <t>NUEVO ESOMEPRAZOL</t>
  </si>
  <si>
    <t>20 MG x 30  TABLETAS GR</t>
  </si>
  <si>
    <t>GX102-030</t>
  </si>
  <si>
    <t>40 MG x 30 TABLETAS GR</t>
  </si>
  <si>
    <t>GX102-012</t>
  </si>
  <si>
    <t>60 MG x 2 ML SOL. INY. X 100 AMP</t>
  </si>
  <si>
    <t>100 MG X 100 TAB LP</t>
  </si>
  <si>
    <t>60MG/2ML CJA X 100 AMP.</t>
  </si>
  <si>
    <t>10 MG X 1 ML X 10 AMP</t>
  </si>
  <si>
    <t>1 GR X 2 ML X 50 AMP</t>
  </si>
  <si>
    <t>50MG/5ML CJA X 10 AMP.</t>
  </si>
  <si>
    <t>1G/10 ML X50 AMP</t>
  </si>
  <si>
    <t>400 MG x CAJA X 50 CAP</t>
  </si>
  <si>
    <t>GX102-042</t>
  </si>
  <si>
    <t>AMOXICILINA + ACIDO CLAVULANICO</t>
  </si>
  <si>
    <t xml:space="preserve">25 MG + 62.5 MG/5ML </t>
  </si>
  <si>
    <t>GX102-029</t>
  </si>
  <si>
    <t>CEFUROXIMA</t>
  </si>
  <si>
    <t>500 MG CJA X 10 TAB</t>
  </si>
  <si>
    <t>4 MG/ 2 ML CJA X 50 AMP.</t>
  </si>
  <si>
    <t>GX102-032</t>
  </si>
  <si>
    <t xml:space="preserve">METOCLOPRAMIDA </t>
  </si>
  <si>
    <t>10 MG/ 2 ML  CJA X 10 AMP.</t>
  </si>
  <si>
    <t xml:space="preserve">ALBENDAZOL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</si>
</sst>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164" formatCode="_-&quot;$&quot;\ * #,##0.00_-;\-&quot;$&quot;\ * #,##0.00_-;_-&quot;$&quot;\ * &quot;-&quot;??_-;_-@_-"/>
    <numFmt numFmtId="165" formatCode="mmm\-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9"/>
      <color rgb="FF000000"/>
      <name val="Aptos Narrow"/>
      <family val="2"/>
      <scheme val="minor"/>
    </font>
    <font>
      <sz val="9"/>
      <name val="Montserrat"/>
    </font>
    <font>
      <sz val="9"/>
      <color rgb="FF000000"/>
      <name val="Montserrat"/>
    </font>
    <font>
      <b/>
      <sz val="9"/>
      <color rgb="FF000000"/>
      <name val="Montserrat"/>
    </font>
    <font>
      <sz val="8"/>
      <color rgb="FF000000"/>
      <name val="Montserrat"/>
    </font>
    <font>
      <b/>
      <sz val="9"/>
      <color rgb="FFFFFFFF"/>
      <name val="Montserrat"/>
    </font>
    <font>
      <b/>
      <sz val="8"/>
      <color rgb="FFFFFFFF"/>
      <name val="Montserrat"/>
    </font>
    <font>
      <sz val="10"/>
      <color rgb="FF000000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Montserrat"/>
    </font>
    <font>
      <sz val="8"/>
      <color theme="1"/>
      <name val="Montserrat"/>
    </font>
    <font>
      <b/>
      <sz val="14"/>
      <color rgb="FFFF0000"/>
      <name val="Montserrat"/>
    </font>
    <font>
      <b/>
      <sz val="9"/>
      <color rgb="FFFF0000"/>
      <name val="Montserrat"/>
    </font>
    <font>
      <b/>
      <sz val="9"/>
      <name val="Montserrat"/>
    </font>
    <font>
      <b/>
      <sz val="9"/>
      <color rgb="FF002060"/>
      <name val="Montserrat"/>
    </font>
    <font>
      <b/>
      <sz val="9"/>
      <color theme="1"/>
      <name val="Montserrat"/>
    </font>
  </fonts>
  <fills count="21">
    <fill>
      <patternFill patternType="none"/>
    </fill>
    <fill>
      <patternFill patternType="gray125"/>
    </fill>
    <fill>
      <patternFill patternType="solid">
        <fgColor rgb="FF0070C0"/>
        <bgColor rgb="FF1E4E79"/>
      </patternFill>
    </fill>
    <fill>
      <patternFill patternType="solid">
        <fgColor rgb="FFFFF3B7"/>
        <bgColor rgb="FF000000"/>
      </patternFill>
    </fill>
    <fill>
      <patternFill patternType="solid">
        <fgColor rgb="FFFFE56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2FF93"/>
        <bgColor rgb="FF000000"/>
      </patternFill>
    </fill>
    <fill>
      <patternFill patternType="solid">
        <fgColor rgb="FFE1E1FF"/>
        <bgColor rgb="FF000000"/>
      </patternFill>
    </fill>
    <fill>
      <patternFill patternType="solid">
        <fgColor rgb="FFC7B8E7"/>
        <bgColor rgb="FF000000"/>
      </patternFill>
    </fill>
    <fill>
      <patternFill patternType="solid">
        <fgColor rgb="FFCAD7EE"/>
        <bgColor rgb="FF000000"/>
      </patternFill>
    </fill>
    <fill>
      <patternFill patternType="solid">
        <fgColor rgb="FFADC1E5"/>
        <bgColor rgb="FF000000"/>
      </patternFill>
    </fill>
    <fill>
      <patternFill patternType="solid">
        <fgColor rgb="FFDBE9F9"/>
        <bgColor rgb="FF000000"/>
      </patternFill>
    </fill>
    <fill>
      <patternFill patternType="solid">
        <fgColor rgb="FFA6C9ED"/>
        <bgColor rgb="FF000000"/>
      </patternFill>
    </fill>
    <fill>
      <patternFill patternType="solid">
        <fgColor rgb="FFFFE56B"/>
        <bgColor indexed="64"/>
      </patternFill>
    </fill>
    <fill>
      <patternFill patternType="solid">
        <fgColor rgb="FFAEC1E6"/>
        <bgColor rgb="FF000000"/>
      </patternFill>
    </fill>
    <fill>
      <patternFill patternType="solid">
        <fgColor rgb="FFC7B9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</fills>
  <borders count="2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medium">
        <color indexed="64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/>
      <top/>
      <bottom/>
      <diagonal/>
    </border>
    <border>
      <left style="medium">
        <color rgb="FF002060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theme="1"/>
      </right>
      <top style="thick">
        <color rgb="FFFFFFFF"/>
      </top>
      <bottom style="thick">
        <color rgb="FFFFFFFF"/>
      </bottom>
      <diagonal/>
    </border>
    <border>
      <left style="medium">
        <color indexed="64"/>
      </left>
      <right style="thick">
        <color rgb="FFFFFFFF"/>
      </right>
      <top style="medium">
        <color indexed="64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indexed="64"/>
      </top>
      <bottom style="thick">
        <color rgb="FFFFFFFF"/>
      </bottom>
      <diagonal/>
    </border>
    <border>
      <left style="thick">
        <color rgb="FFFFFFF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FFFFFF"/>
      </right>
      <top style="medium">
        <color indexed="64"/>
      </top>
      <bottom/>
      <diagonal/>
    </border>
    <border>
      <left style="thick">
        <color rgb="FFFFFFFF"/>
      </left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indexed="64"/>
      </right>
      <top style="thick">
        <color rgb="FFFFFFFF"/>
      </top>
      <bottom style="thick">
        <color rgb="FFFFFFFF"/>
      </bottom>
      <diagonal/>
    </border>
    <border>
      <left style="medium">
        <color indexed="64"/>
      </left>
      <right style="thick">
        <color rgb="FFFFFFFF"/>
      </right>
      <top style="thick">
        <color rgb="FFFFFFFF"/>
      </top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0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4" fillId="5" borderId="9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8" fontId="2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65" fontId="3" fillId="3" borderId="6" xfId="0" applyNumberFormat="1" applyFont="1" applyFill="1" applyBorder="1" applyAlignment="1">
      <alignment horizontal="center" vertical="center" wrapText="1"/>
    </xf>
    <xf numFmtId="165" fontId="3" fillId="5" borderId="4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3" fillId="5" borderId="10" xfId="0" applyNumberFormat="1" applyFont="1" applyFill="1" applyBorder="1" applyAlignment="1">
      <alignment horizontal="center" vertical="center" wrapText="1"/>
    </xf>
    <xf numFmtId="165" fontId="4" fillId="7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4" fillId="7" borderId="10" xfId="0" applyNumberFormat="1" applyFont="1" applyFill="1" applyBorder="1" applyAlignment="1">
      <alignment horizontal="center" vertical="center"/>
    </xf>
    <xf numFmtId="165" fontId="3" fillId="9" borderId="12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shrinkToFit="1"/>
    </xf>
    <xf numFmtId="0" fontId="6" fillId="5" borderId="5" xfId="0" applyFont="1" applyFill="1" applyBorder="1" applyAlignment="1">
      <alignment horizontal="left" vertical="center" wrapText="1" shrinkToFit="1"/>
    </xf>
    <xf numFmtId="0" fontId="6" fillId="5" borderId="11" xfId="0" applyFont="1" applyFill="1" applyBorder="1" applyAlignment="1">
      <alignment horizontal="left" vertical="center" shrinkToFi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65" fontId="3" fillId="11" borderId="1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11" borderId="1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shrinkToFit="1"/>
    </xf>
    <xf numFmtId="0" fontId="6" fillId="11" borderId="8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shrinkToFit="1"/>
    </xf>
    <xf numFmtId="0" fontId="6" fillId="3" borderId="6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 shrinkToFit="1"/>
    </xf>
    <xf numFmtId="0" fontId="6" fillId="3" borderId="0" xfId="0" applyFont="1" applyFill="1" applyAlignment="1">
      <alignment horizontal="left" vertical="center" shrinkToFit="1"/>
    </xf>
    <xf numFmtId="0" fontId="6" fillId="3" borderId="7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6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1" fontId="12" fillId="12" borderId="1" xfId="0" applyNumberFormat="1" applyFont="1" applyFill="1" applyBorder="1" applyAlignment="1">
      <alignment horizontal="center" vertical="center"/>
    </xf>
    <xf numFmtId="2" fontId="12" fillId="12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2" fontId="11" fillId="1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4" fillId="6" borderId="6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7" fillId="2" borderId="4" xfId="0" applyFont="1" applyFill="1" applyBorder="1" applyAlignment="1">
      <alignment horizontal="center" vertical="center" wrapText="1"/>
    </xf>
    <xf numFmtId="9" fontId="6" fillId="6" borderId="1" xfId="2" applyFont="1" applyFill="1" applyBorder="1" applyAlignment="1">
      <alignment horizontal="center" vertical="center"/>
    </xf>
    <xf numFmtId="9" fontId="6" fillId="4" borderId="1" xfId="2" applyFont="1" applyFill="1" applyBorder="1" applyAlignment="1">
      <alignment horizontal="center" vertical="center"/>
    </xf>
    <xf numFmtId="9" fontId="0" fillId="0" borderId="0" xfId="2" applyFont="1"/>
    <xf numFmtId="9" fontId="12" fillId="12" borderId="1" xfId="2" applyFont="1" applyFill="1" applyBorder="1" applyAlignment="1">
      <alignment horizontal="center" vertical="center"/>
    </xf>
    <xf numFmtId="9" fontId="6" fillId="10" borderId="1" xfId="2" applyFont="1" applyFill="1" applyBorder="1" applyAlignment="1">
      <alignment horizontal="center" vertical="center"/>
    </xf>
    <xf numFmtId="0" fontId="2" fillId="0" borderId="11" xfId="0" applyFont="1" applyBorder="1"/>
    <xf numFmtId="0" fontId="14" fillId="16" borderId="2" xfId="0" applyFont="1" applyFill="1" applyBorder="1" applyAlignment="1">
      <alignment horizontal="center" vertical="center" wrapText="1"/>
    </xf>
    <xf numFmtId="2" fontId="14" fillId="16" borderId="1" xfId="0" applyNumberFormat="1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 wrapText="1"/>
    </xf>
    <xf numFmtId="2" fontId="5" fillId="17" borderId="1" xfId="0" applyNumberFormat="1" applyFont="1" applyFill="1" applyBorder="1" applyAlignment="1">
      <alignment horizontal="center" vertical="center"/>
    </xf>
    <xf numFmtId="2" fontId="4" fillId="17" borderId="1" xfId="0" applyNumberFormat="1" applyFont="1" applyFill="1" applyBorder="1" applyAlignment="1">
      <alignment horizontal="center" vertical="center"/>
    </xf>
    <xf numFmtId="2" fontId="11" fillId="17" borderId="1" xfId="0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 wrapText="1"/>
    </xf>
    <xf numFmtId="2" fontId="14" fillId="18" borderId="1" xfId="0" applyNumberFormat="1" applyFon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2" fontId="15" fillId="13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6" borderId="6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9" fontId="6" fillId="14" borderId="1" xfId="2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9" fontId="6" fillId="10" borderId="0" xfId="2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1" fontId="16" fillId="20" borderId="14" xfId="0" applyNumberFormat="1" applyFont="1" applyFill="1" applyBorder="1" applyAlignment="1">
      <alignment horizontal="center" vertical="center"/>
    </xf>
    <xf numFmtId="1" fontId="16" fillId="20" borderId="1" xfId="0" applyNumberFormat="1" applyFont="1" applyFill="1" applyBorder="1" applyAlignment="1">
      <alignment horizontal="center" vertical="center"/>
    </xf>
    <xf numFmtId="9" fontId="16" fillId="20" borderId="1" xfId="0" applyNumberFormat="1" applyFont="1" applyFill="1" applyBorder="1" applyAlignment="1">
      <alignment horizontal="center" vertical="center"/>
    </xf>
    <xf numFmtId="2" fontId="16" fillId="20" borderId="15" xfId="0" applyNumberFormat="1" applyFont="1" applyFill="1" applyBorder="1" applyAlignment="1">
      <alignment horizontal="center" vertical="center"/>
    </xf>
    <xf numFmtId="1" fontId="16" fillId="12" borderId="6" xfId="0" applyNumberFormat="1" applyFont="1" applyFill="1" applyBorder="1" applyAlignment="1">
      <alignment horizontal="center" vertical="center"/>
    </xf>
    <xf numFmtId="1" fontId="16" fillId="12" borderId="1" xfId="0" applyNumberFormat="1" applyFont="1" applyFill="1" applyBorder="1" applyAlignment="1">
      <alignment horizontal="center" vertical="center"/>
    </xf>
    <xf numFmtId="2" fontId="6" fillId="10" borderId="0" xfId="0" applyNumberFormat="1" applyFont="1" applyFill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9" fontId="7" fillId="2" borderId="17" xfId="2" applyFont="1" applyFill="1" applyBorder="1" applyAlignment="1">
      <alignment horizontal="center" vertical="center" wrapText="1"/>
    </xf>
    <xf numFmtId="9" fontId="7" fillId="2" borderId="17" xfId="0" applyNumberFormat="1" applyFont="1" applyFill="1" applyBorder="1" applyAlignment="1">
      <alignment horizontal="center" vertical="center" wrapText="1"/>
    </xf>
    <xf numFmtId="9" fontId="7" fillId="2" borderId="21" xfId="0" applyNumberFormat="1" applyFont="1" applyFill="1" applyBorder="1" applyAlignment="1">
      <alignment horizontal="center" vertical="center" wrapText="1"/>
    </xf>
    <xf numFmtId="2" fontId="12" fillId="12" borderId="24" xfId="0" applyNumberFormat="1" applyFont="1" applyFill="1" applyBorder="1" applyAlignment="1">
      <alignment horizontal="center" vertical="center"/>
    </xf>
    <xf numFmtId="2" fontId="12" fillId="12" borderId="25" xfId="0" applyNumberFormat="1" applyFont="1" applyFill="1" applyBorder="1" applyAlignment="1">
      <alignment horizontal="center" vertical="center"/>
    </xf>
    <xf numFmtId="2" fontId="16" fillId="20" borderId="24" xfId="0" applyNumberFormat="1" applyFont="1" applyFill="1" applyBorder="1" applyAlignment="1">
      <alignment horizontal="center" vertical="center"/>
    </xf>
    <xf numFmtId="2" fontId="6" fillId="6" borderId="24" xfId="0" applyNumberFormat="1" applyFont="1" applyFill="1" applyBorder="1" applyAlignment="1">
      <alignment horizontal="center" vertical="center"/>
    </xf>
    <xf numFmtId="2" fontId="6" fillId="6" borderId="25" xfId="0" applyNumberFormat="1" applyFont="1" applyFill="1" applyBorder="1" applyAlignment="1">
      <alignment horizontal="center" vertical="center"/>
    </xf>
    <xf numFmtId="2" fontId="6" fillId="4" borderId="24" xfId="0" applyNumberFormat="1" applyFont="1" applyFill="1" applyBorder="1" applyAlignment="1">
      <alignment horizontal="center" vertical="center"/>
    </xf>
    <xf numFmtId="2" fontId="6" fillId="4" borderId="25" xfId="0" applyNumberFormat="1" applyFont="1" applyFill="1" applyBorder="1" applyAlignment="1">
      <alignment horizontal="center" vertical="center"/>
    </xf>
    <xf numFmtId="2" fontId="6" fillId="10" borderId="24" xfId="0" applyNumberFormat="1" applyFont="1" applyFill="1" applyBorder="1" applyAlignment="1">
      <alignment horizontal="center" vertical="center"/>
    </xf>
    <xf numFmtId="2" fontId="6" fillId="10" borderId="25" xfId="0" applyNumberFormat="1" applyFont="1" applyFill="1" applyBorder="1" applyAlignment="1">
      <alignment horizontal="center" vertical="center"/>
    </xf>
    <xf numFmtId="2" fontId="6" fillId="10" borderId="22" xfId="0" applyNumberFormat="1" applyFont="1" applyFill="1" applyBorder="1" applyAlignment="1">
      <alignment horizontal="center" vertical="center"/>
    </xf>
    <xf numFmtId="2" fontId="6" fillId="10" borderId="23" xfId="0" applyNumberFormat="1" applyFont="1" applyFill="1" applyBorder="1" applyAlignment="1">
      <alignment horizontal="center" vertical="center"/>
    </xf>
    <xf numFmtId="2" fontId="6" fillId="8" borderId="24" xfId="0" applyNumberFormat="1" applyFont="1" applyFill="1" applyBorder="1" applyAlignment="1">
      <alignment horizontal="center" vertical="center"/>
    </xf>
    <xf numFmtId="2" fontId="6" fillId="8" borderId="26" xfId="0" applyNumberFormat="1" applyFont="1" applyFill="1" applyBorder="1" applyAlignment="1">
      <alignment horizontal="center" vertical="center"/>
    </xf>
    <xf numFmtId="2" fontId="6" fillId="8" borderId="27" xfId="0" applyNumberFormat="1" applyFont="1" applyFill="1" applyBorder="1" applyAlignment="1">
      <alignment horizontal="center" vertical="center"/>
    </xf>
    <xf numFmtId="1" fontId="6" fillId="6" borderId="25" xfId="0" applyNumberFormat="1" applyFont="1" applyFill="1" applyBorder="1" applyAlignment="1">
      <alignment horizontal="center" vertical="center"/>
    </xf>
    <xf numFmtId="2" fontId="6" fillId="14" borderId="24" xfId="0" applyNumberFormat="1" applyFont="1" applyFill="1" applyBorder="1" applyAlignment="1">
      <alignment horizontal="center" vertical="center"/>
    </xf>
    <xf numFmtId="9" fontId="6" fillId="10" borderId="24" xfId="2" applyFont="1" applyFill="1" applyBorder="1" applyAlignment="1">
      <alignment horizontal="center" vertical="center"/>
    </xf>
    <xf numFmtId="9" fontId="17" fillId="12" borderId="0" xfId="2" applyFont="1" applyFill="1" applyBorder="1" applyAlignment="1">
      <alignment horizontal="center" vertical="center"/>
    </xf>
    <xf numFmtId="9" fontId="5" fillId="6" borderId="0" xfId="2" applyFont="1" applyFill="1" applyBorder="1" applyAlignment="1">
      <alignment horizontal="center" vertical="center"/>
    </xf>
    <xf numFmtId="9" fontId="5" fillId="4" borderId="0" xfId="2" applyFont="1" applyFill="1" applyBorder="1" applyAlignment="1">
      <alignment horizontal="center" vertical="center"/>
    </xf>
    <xf numFmtId="9" fontId="5" fillId="10" borderId="0" xfId="2" applyFont="1" applyFill="1" applyBorder="1" applyAlignment="1">
      <alignment horizontal="center" vertical="center"/>
    </xf>
    <xf numFmtId="9" fontId="5" fillId="15" borderId="0" xfId="2" applyFont="1" applyFill="1" applyBorder="1" applyAlignment="1">
      <alignment horizontal="center" vertical="center"/>
    </xf>
    <xf numFmtId="2" fontId="16" fillId="20" borderId="25" xfId="0" applyNumberFormat="1" applyFont="1" applyFill="1" applyBorder="1" applyAlignment="1">
      <alignment horizontal="center" vertical="center"/>
    </xf>
    <xf numFmtId="2" fontId="16" fillId="12" borderId="25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2701247A-F619-4E97-8ECA-CC2B037FB728}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C7B9E7"/>
      <color rgb="FFAEC1E6"/>
      <color rgb="FFFFE56B"/>
      <color rgb="FF81FF93"/>
      <color rgb="FFA6C9ED"/>
      <color rgb="FFDB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7DE4-E434-483F-9FE7-948FF95B0CC3}">
  <sheetPr>
    <pageSetUpPr fitToPage="1"/>
  </sheetPr>
  <dimension ref="A1:AG66"/>
  <sheetViews>
    <sheetView showGridLines="0" tabSelected="1" zoomScaleNormal="100" workbookViewId="0">
      <pane xSplit="6" ySplit="1" topLeftCell="H2" activePane="bottomRight" state="frozen"/>
      <selection pane="topRight" activeCell="K1" sqref="K1"/>
      <selection pane="bottomLeft" activeCell="A9" sqref="A9"/>
      <selection pane="bottomRight" activeCell="O14" sqref="O14"/>
    </sheetView>
  </sheetViews>
  <sheetFormatPr baseColWidth="10" defaultColWidth="11.28515625" defaultRowHeight="15" x14ac:dyDescent="0.25"/>
  <cols>
    <col min="1" max="1" width="11.28515625" customWidth="1"/>
    <col min="2" max="2" width="5" customWidth="1"/>
    <col min="3" max="3" width="8.28515625" customWidth="1"/>
    <col min="4" max="4" width="23" customWidth="1"/>
    <col min="5" max="5" width="23.42578125" customWidth="1"/>
    <col min="6" max="6" width="29.7109375" customWidth="1"/>
    <col min="7" max="7" width="7.42578125" customWidth="1"/>
    <col min="8" max="8" width="7.7109375" customWidth="1"/>
    <col min="9" max="9" width="6.140625" customWidth="1"/>
    <col min="10" max="10" width="13.7109375" bestFit="1" customWidth="1"/>
    <col min="11" max="11" width="13.7109375" customWidth="1"/>
    <col min="12" max="12" width="10.140625" customWidth="1"/>
    <col min="13" max="13" width="13.7109375" customWidth="1"/>
    <col min="14" max="14" width="12.85546875" customWidth="1"/>
    <col min="15" max="15" width="7.5703125" customWidth="1"/>
    <col min="16" max="16" width="8.7109375" customWidth="1"/>
    <col min="17" max="17" width="53.28515625" customWidth="1"/>
    <col min="18" max="18" width="5.140625" style="84" customWidth="1"/>
    <col min="19" max="19" width="8.85546875" customWidth="1"/>
    <col min="20" max="20" width="4.28515625" customWidth="1"/>
    <col min="21" max="21" width="3.42578125" style="84" customWidth="1"/>
    <col min="22" max="22" width="4.42578125" customWidth="1"/>
    <col min="23" max="23" width="9.7109375" customWidth="1"/>
    <col min="24" max="24" width="23.140625" customWidth="1"/>
    <col min="25" max="25" width="9.140625" customWidth="1"/>
    <col min="26" max="26" width="12.5703125" customWidth="1"/>
    <col min="27" max="29" width="3.7109375" customWidth="1"/>
    <col min="30" max="30" width="9" customWidth="1"/>
  </cols>
  <sheetData>
    <row r="1" spans="1:33" ht="58.5" customHeight="1" thickTop="1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81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88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3" t="s">
        <v>15</v>
      </c>
      <c r="Q1" s="121" t="s">
        <v>16</v>
      </c>
      <c r="R1" s="122" t="s">
        <v>17</v>
      </c>
      <c r="S1" s="123" t="s">
        <v>18</v>
      </c>
      <c r="T1" s="149" t="s">
        <v>19</v>
      </c>
      <c r="U1" s="150"/>
      <c r="V1" s="151"/>
      <c r="W1" s="124" t="s">
        <v>18</v>
      </c>
      <c r="X1" s="121" t="s">
        <v>20</v>
      </c>
      <c r="Y1" s="122" t="s">
        <v>17</v>
      </c>
      <c r="Z1" s="123" t="s">
        <v>18</v>
      </c>
      <c r="AA1" s="149" t="s">
        <v>19</v>
      </c>
      <c r="AB1" s="150"/>
      <c r="AC1" s="151"/>
      <c r="AD1" s="124" t="s">
        <v>18</v>
      </c>
    </row>
    <row r="2" spans="1:33" s="76" customFormat="1" ht="16.5" thickTop="1" thickBot="1" x14ac:dyDescent="0.3">
      <c r="A2" s="42" t="s">
        <v>21</v>
      </c>
      <c r="B2" s="39">
        <v>3</v>
      </c>
      <c r="C2" s="39">
        <v>200</v>
      </c>
      <c r="D2" s="43" t="s">
        <v>22</v>
      </c>
      <c r="E2" s="48" t="s">
        <v>284</v>
      </c>
      <c r="F2" s="49" t="s">
        <v>24</v>
      </c>
      <c r="G2" s="99" t="s">
        <v>25</v>
      </c>
      <c r="H2" s="74">
        <v>78.72</v>
      </c>
      <c r="I2" s="74" t="s">
        <v>25</v>
      </c>
      <c r="J2" s="38">
        <v>46691</v>
      </c>
      <c r="K2" s="89">
        <v>78.72</v>
      </c>
      <c r="L2" s="90" t="s">
        <v>25</v>
      </c>
      <c r="M2" s="74">
        <v>87.466666666666669</v>
      </c>
      <c r="N2" s="74">
        <v>89.454545454545453</v>
      </c>
      <c r="O2" s="75">
        <v>91.53</v>
      </c>
      <c r="P2" s="142">
        <v>0.14000000000000001</v>
      </c>
      <c r="Q2" s="125"/>
      <c r="R2" s="85"/>
      <c r="S2" s="69"/>
      <c r="T2" s="69"/>
      <c r="U2" s="69"/>
      <c r="V2" s="69"/>
      <c r="W2" s="126"/>
      <c r="X2" s="125"/>
      <c r="Y2" s="85"/>
      <c r="Z2" s="69"/>
      <c r="AA2" s="68"/>
      <c r="AB2" s="68"/>
      <c r="AC2" s="68"/>
      <c r="AD2" s="126"/>
      <c r="AE2"/>
    </row>
    <row r="3" spans="1:33" s="76" customFormat="1" ht="16.5" thickTop="1" thickBot="1" x14ac:dyDescent="0.3">
      <c r="A3" s="42" t="s">
        <v>26</v>
      </c>
      <c r="B3" s="39">
        <v>3</v>
      </c>
      <c r="C3" s="39">
        <v>72</v>
      </c>
      <c r="D3" s="43" t="s">
        <v>27</v>
      </c>
      <c r="E3" s="48" t="s">
        <v>23</v>
      </c>
      <c r="F3" s="49" t="s">
        <v>28</v>
      </c>
      <c r="G3" s="74">
        <v>67.118644067796623</v>
      </c>
      <c r="H3" s="74">
        <v>57.722033898305092</v>
      </c>
      <c r="I3" s="74">
        <v>10.389966101694917</v>
      </c>
      <c r="J3" s="38">
        <v>46446</v>
      </c>
      <c r="K3" s="89">
        <v>68.112000000000009</v>
      </c>
      <c r="L3" s="90" t="s">
        <v>25</v>
      </c>
      <c r="M3" s="74">
        <v>75.680000000000007</v>
      </c>
      <c r="N3" s="74">
        <v>77.400000000000006</v>
      </c>
      <c r="O3" s="75">
        <v>79.2</v>
      </c>
      <c r="P3" s="142">
        <v>0.14000000000000001</v>
      </c>
      <c r="Q3" s="127" t="s">
        <v>50</v>
      </c>
      <c r="R3" s="116">
        <v>0.5</v>
      </c>
      <c r="S3" s="117">
        <f>+O3*(100%-R3)</f>
        <v>39.6</v>
      </c>
      <c r="T3" s="118"/>
      <c r="U3" s="119"/>
      <c r="V3" s="119"/>
      <c r="W3" s="148"/>
      <c r="X3" s="125"/>
      <c r="Y3" s="85"/>
      <c r="Z3" s="69"/>
      <c r="AA3" s="68"/>
      <c r="AB3" s="68"/>
      <c r="AC3" s="68"/>
      <c r="AD3" s="126"/>
      <c r="AE3"/>
    </row>
    <row r="4" spans="1:33" s="76" customFormat="1" ht="16.5" thickTop="1" thickBot="1" x14ac:dyDescent="0.3">
      <c r="A4" s="42" t="s">
        <v>30</v>
      </c>
      <c r="B4" s="39">
        <v>3</v>
      </c>
      <c r="C4" s="39">
        <v>72</v>
      </c>
      <c r="D4" s="43" t="s">
        <v>31</v>
      </c>
      <c r="E4" s="48" t="s">
        <v>23</v>
      </c>
      <c r="F4" s="49" t="s">
        <v>32</v>
      </c>
      <c r="G4" s="74">
        <v>132.20338983050848</v>
      </c>
      <c r="H4" s="74">
        <v>113.6949152542373</v>
      </c>
      <c r="I4" s="74">
        <v>20.465084745762713</v>
      </c>
      <c r="J4" s="38">
        <v>46446</v>
      </c>
      <c r="K4" s="89">
        <v>134.16000000000003</v>
      </c>
      <c r="L4" s="90" t="s">
        <v>25</v>
      </c>
      <c r="M4" s="74">
        <v>149.06666666666669</v>
      </c>
      <c r="N4" s="74">
        <v>152.4545454545455</v>
      </c>
      <c r="O4" s="75">
        <v>156</v>
      </c>
      <c r="P4" s="142">
        <v>0.14000000000000001</v>
      </c>
      <c r="Q4" s="127" t="s">
        <v>50</v>
      </c>
      <c r="R4" s="116">
        <v>0.5</v>
      </c>
      <c r="S4" s="117">
        <f>+O4*(100%-R4)</f>
        <v>78</v>
      </c>
      <c r="T4" s="118"/>
      <c r="U4" s="119"/>
      <c r="V4" s="119"/>
      <c r="W4" s="148"/>
      <c r="X4" s="125"/>
      <c r="Y4" s="85"/>
      <c r="Z4" s="69"/>
      <c r="AA4" s="68"/>
      <c r="AB4" s="68"/>
      <c r="AC4" s="68"/>
      <c r="AD4" s="126"/>
      <c r="AE4"/>
    </row>
    <row r="5" spans="1:33" s="76" customFormat="1" ht="16.5" thickTop="1" thickBot="1" x14ac:dyDescent="0.3">
      <c r="A5" s="39" t="s">
        <v>33</v>
      </c>
      <c r="B5" s="91"/>
      <c r="C5" s="39">
        <v>160</v>
      </c>
      <c r="D5" s="43" t="s">
        <v>34</v>
      </c>
      <c r="E5" s="48" t="s">
        <v>35</v>
      </c>
      <c r="F5" s="49" t="s">
        <v>36</v>
      </c>
      <c r="G5" s="74" t="s">
        <v>25</v>
      </c>
      <c r="H5" s="74">
        <v>43</v>
      </c>
      <c r="I5" s="74" t="s">
        <v>25</v>
      </c>
      <c r="J5" s="95">
        <v>46997</v>
      </c>
      <c r="K5" s="96">
        <v>43</v>
      </c>
      <c r="L5" s="92" t="s">
        <v>25</v>
      </c>
      <c r="M5" s="93">
        <v>47.777777777777779</v>
      </c>
      <c r="N5" s="94">
        <v>48.863636363636367</v>
      </c>
      <c r="O5" s="94">
        <v>50</v>
      </c>
      <c r="P5" s="142">
        <v>0.14000000000000001</v>
      </c>
      <c r="Q5" s="127" t="s">
        <v>50</v>
      </c>
      <c r="R5" s="116">
        <v>0.61</v>
      </c>
      <c r="S5" s="117">
        <f>+O5*(100%-R5)</f>
        <v>19.5</v>
      </c>
      <c r="T5" s="118"/>
      <c r="U5" s="119"/>
      <c r="V5" s="119"/>
      <c r="W5" s="148"/>
      <c r="X5" s="125"/>
      <c r="Y5" s="85"/>
      <c r="Z5" s="69"/>
      <c r="AA5" s="68"/>
      <c r="AB5" s="68"/>
      <c r="AC5" s="68"/>
      <c r="AD5" s="126"/>
      <c r="AE5"/>
    </row>
    <row r="6" spans="1:33" s="76" customFormat="1" ht="16.5" thickTop="1" thickBot="1" x14ac:dyDescent="0.3">
      <c r="A6" s="42" t="s">
        <v>37</v>
      </c>
      <c r="B6" s="91"/>
      <c r="C6" s="91">
        <v>200</v>
      </c>
      <c r="D6" s="43" t="s">
        <v>38</v>
      </c>
      <c r="E6" s="48" t="s">
        <v>39</v>
      </c>
      <c r="F6" s="49" t="s">
        <v>40</v>
      </c>
      <c r="G6" s="74" t="s">
        <v>25</v>
      </c>
      <c r="H6" s="74">
        <v>77.400000000000006</v>
      </c>
      <c r="I6" s="74" t="s">
        <v>25</v>
      </c>
      <c r="J6" s="95" t="s">
        <v>41</v>
      </c>
      <c r="K6" s="96">
        <v>77.400000000000006</v>
      </c>
      <c r="L6" s="92" t="s">
        <v>25</v>
      </c>
      <c r="M6" s="93">
        <v>86</v>
      </c>
      <c r="N6" s="94">
        <v>87.954545454545467</v>
      </c>
      <c r="O6" s="94">
        <v>90</v>
      </c>
      <c r="P6" s="142">
        <v>0.14000000000000001</v>
      </c>
      <c r="Q6" s="127" t="s">
        <v>50</v>
      </c>
      <c r="R6" s="116">
        <v>0.5</v>
      </c>
      <c r="S6" s="117">
        <f>+O6*(100%-R6)</f>
        <v>45</v>
      </c>
      <c r="T6" s="118"/>
      <c r="U6" s="119"/>
      <c r="V6" s="119"/>
      <c r="W6" s="148"/>
      <c r="X6" s="125"/>
      <c r="Y6" s="85"/>
      <c r="Z6" s="69"/>
      <c r="AA6" s="68"/>
      <c r="AB6" s="68"/>
      <c r="AC6" s="68"/>
      <c r="AD6" s="126"/>
      <c r="AE6"/>
    </row>
    <row r="7" spans="1:33" s="76" customFormat="1" ht="16.5" thickTop="1" thickBot="1" x14ac:dyDescent="0.3">
      <c r="A7" s="14" t="s">
        <v>42</v>
      </c>
      <c r="B7" s="18">
        <v>1</v>
      </c>
      <c r="C7" s="4">
        <v>160</v>
      </c>
      <c r="D7" s="3" t="s">
        <v>43</v>
      </c>
      <c r="E7" s="17" t="s">
        <v>44</v>
      </c>
      <c r="F7" s="29" t="s">
        <v>45</v>
      </c>
      <c r="G7" s="40">
        <v>13.983050847457628</v>
      </c>
      <c r="H7" s="40">
        <v>11.466101694915256</v>
      </c>
      <c r="I7" s="40">
        <v>2.0638983050847459</v>
      </c>
      <c r="J7" s="21">
        <v>46904</v>
      </c>
      <c r="K7" s="89">
        <v>13.530000000000001</v>
      </c>
      <c r="L7" s="40">
        <v>14.706521739130435</v>
      </c>
      <c r="M7" s="40">
        <v>15.033333333333335</v>
      </c>
      <c r="N7" s="40">
        <v>15.375000000000002</v>
      </c>
      <c r="O7" s="40">
        <v>16.5</v>
      </c>
      <c r="P7" s="143">
        <v>0.18</v>
      </c>
      <c r="Q7" s="128"/>
      <c r="R7" s="82"/>
      <c r="S7" s="67"/>
      <c r="T7" s="114">
        <v>2</v>
      </c>
      <c r="U7" s="115" t="s">
        <v>29</v>
      </c>
      <c r="V7" s="115">
        <v>1</v>
      </c>
      <c r="W7" s="147">
        <f>(O7*T7)/(T7+V7)</f>
        <v>11</v>
      </c>
      <c r="X7" s="128"/>
      <c r="Y7" s="82"/>
      <c r="Z7" s="67"/>
      <c r="AA7" s="114">
        <v>50</v>
      </c>
      <c r="AB7" s="115" t="s">
        <v>29</v>
      </c>
      <c r="AC7" s="115">
        <v>25</v>
      </c>
      <c r="AD7" s="147">
        <f>(N7*AA7)/(AA7+AC7)</f>
        <v>10.250000000000002</v>
      </c>
      <c r="AE7"/>
      <c r="AG7" s="104"/>
    </row>
    <row r="8" spans="1:33" s="76" customFormat="1" ht="16.5" thickTop="1" thickBot="1" x14ac:dyDescent="0.3">
      <c r="A8" s="2" t="s">
        <v>46</v>
      </c>
      <c r="B8" s="18"/>
      <c r="C8" s="2">
        <v>75</v>
      </c>
      <c r="D8" s="3" t="s">
        <v>47</v>
      </c>
      <c r="E8" s="17" t="s">
        <v>48</v>
      </c>
      <c r="F8" s="29" t="s">
        <v>49</v>
      </c>
      <c r="G8" s="40">
        <v>102</v>
      </c>
      <c r="H8" s="40">
        <v>83.64</v>
      </c>
      <c r="I8" s="40">
        <v>15.055199999999999</v>
      </c>
      <c r="J8" s="21">
        <v>46507</v>
      </c>
      <c r="K8" s="89">
        <v>98.6952</v>
      </c>
      <c r="L8" s="40">
        <v>107.27739130434782</v>
      </c>
      <c r="M8" s="40">
        <v>109.66133333333333</v>
      </c>
      <c r="N8" s="40">
        <v>112.15363636363637</v>
      </c>
      <c r="O8" s="40">
        <v>120.36</v>
      </c>
      <c r="P8" s="143">
        <v>0.18</v>
      </c>
      <c r="Q8" s="127" t="s">
        <v>50</v>
      </c>
      <c r="R8" s="116">
        <v>0.5</v>
      </c>
      <c r="S8" s="117">
        <f>O8*(100%-R8)</f>
        <v>60.18</v>
      </c>
      <c r="T8" s="72"/>
      <c r="U8" s="72"/>
      <c r="V8" s="72"/>
      <c r="W8" s="129"/>
      <c r="X8" s="127" t="s">
        <v>51</v>
      </c>
      <c r="Y8" s="116">
        <v>0.5</v>
      </c>
      <c r="Z8" s="117">
        <f>N8-(N8*Y8)</f>
        <v>56.076818181818183</v>
      </c>
      <c r="AA8" s="72"/>
      <c r="AB8" s="72"/>
      <c r="AC8" s="72"/>
      <c r="AD8" s="129"/>
      <c r="AE8"/>
    </row>
    <row r="9" spans="1:33" s="76" customFormat="1" ht="16.5" thickTop="1" thickBot="1" x14ac:dyDescent="0.3">
      <c r="A9" s="2" t="s">
        <v>52</v>
      </c>
      <c r="B9" s="18"/>
      <c r="C9" s="2">
        <v>120</v>
      </c>
      <c r="D9" s="3" t="s">
        <v>53</v>
      </c>
      <c r="E9" s="17" t="s">
        <v>48</v>
      </c>
      <c r="F9" s="29" t="s">
        <v>54</v>
      </c>
      <c r="G9" s="40">
        <v>90.762711864406782</v>
      </c>
      <c r="H9" s="40">
        <v>74.42542372881357</v>
      </c>
      <c r="I9" s="40">
        <v>13.396576271186442</v>
      </c>
      <c r="J9" s="21">
        <v>46507</v>
      </c>
      <c r="K9" s="89">
        <v>87.822000000000017</v>
      </c>
      <c r="L9" s="40">
        <v>95.45869565217393</v>
      </c>
      <c r="M9" s="40">
        <v>97.580000000000013</v>
      </c>
      <c r="N9" s="40">
        <v>99.797727272727286</v>
      </c>
      <c r="O9" s="40">
        <v>107.1</v>
      </c>
      <c r="P9" s="143">
        <v>0.18</v>
      </c>
      <c r="Q9" s="127" t="s">
        <v>50</v>
      </c>
      <c r="R9" s="116">
        <v>0.5</v>
      </c>
      <c r="S9" s="117">
        <f>O9*(100%-R9)</f>
        <v>53.55</v>
      </c>
      <c r="T9" s="72"/>
      <c r="U9" s="72"/>
      <c r="V9" s="72"/>
      <c r="W9" s="129"/>
      <c r="X9" s="127" t="s">
        <v>51</v>
      </c>
      <c r="Y9" s="116">
        <v>0.5</v>
      </c>
      <c r="Z9" s="117">
        <f>N9-(N9*Y9)</f>
        <v>49.898863636363643</v>
      </c>
      <c r="AA9" s="72"/>
      <c r="AB9" s="72"/>
      <c r="AC9" s="72"/>
      <c r="AD9" s="129"/>
      <c r="AE9"/>
    </row>
    <row r="10" spans="1:33" s="76" customFormat="1" ht="16.5" thickTop="1" thickBot="1" x14ac:dyDescent="0.3">
      <c r="A10" s="2" t="s">
        <v>55</v>
      </c>
      <c r="B10" s="18"/>
      <c r="C10" s="2">
        <v>49</v>
      </c>
      <c r="D10" s="107" t="s">
        <v>56</v>
      </c>
      <c r="E10" s="17" t="s">
        <v>57</v>
      </c>
      <c r="F10" s="29" t="s">
        <v>58</v>
      </c>
      <c r="G10" s="40">
        <v>109.24576271186442</v>
      </c>
      <c r="H10" s="40">
        <v>92.85889830508475</v>
      </c>
      <c r="I10" s="40">
        <v>16.714601694915256</v>
      </c>
      <c r="J10" s="21">
        <v>46812</v>
      </c>
      <c r="K10" s="89">
        <v>109.57350000000001</v>
      </c>
      <c r="L10" s="40">
        <v>119.10163043478262</v>
      </c>
      <c r="M10" s="40">
        <v>121.74833333333333</v>
      </c>
      <c r="N10" s="40">
        <v>124.51534090909092</v>
      </c>
      <c r="O10" s="40">
        <v>128.91</v>
      </c>
      <c r="P10" s="143">
        <v>0.15</v>
      </c>
      <c r="Q10" s="127" t="s">
        <v>50</v>
      </c>
      <c r="R10" s="116">
        <v>0.5</v>
      </c>
      <c r="S10" s="117">
        <f>O10*(100%-R10)</f>
        <v>64.454999999999998</v>
      </c>
      <c r="T10" s="72"/>
      <c r="U10" s="72"/>
      <c r="V10" s="72"/>
      <c r="W10" s="129"/>
      <c r="X10" s="127" t="s">
        <v>51</v>
      </c>
      <c r="Y10" s="116">
        <v>0.5</v>
      </c>
      <c r="Z10" s="117">
        <f>N10-(N10*Y10)</f>
        <v>62.257670454545462</v>
      </c>
      <c r="AA10" s="72"/>
      <c r="AB10" s="72"/>
      <c r="AC10" s="72"/>
      <c r="AD10" s="129"/>
      <c r="AE10"/>
    </row>
    <row r="11" spans="1:33" s="76" customFormat="1" ht="65.25" hidden="1" customHeight="1" thickTop="1" thickBot="1" x14ac:dyDescent="0.3">
      <c r="A11" s="14" t="s">
        <v>59</v>
      </c>
      <c r="B11" s="18">
        <v>4</v>
      </c>
      <c r="C11" s="4">
        <v>36</v>
      </c>
      <c r="D11" s="3" t="s">
        <v>60</v>
      </c>
      <c r="E11" s="32" t="s">
        <v>61</v>
      </c>
      <c r="F11" s="30" t="s">
        <v>62</v>
      </c>
      <c r="G11" s="40">
        <v>67.79661016949153</v>
      </c>
      <c r="H11" s="40">
        <v>57.627118644067799</v>
      </c>
      <c r="I11" s="40">
        <v>10.372881355932204</v>
      </c>
      <c r="J11" s="21">
        <v>46630</v>
      </c>
      <c r="K11" s="89">
        <v>68</v>
      </c>
      <c r="L11" s="40">
        <v>73.91304347826086</v>
      </c>
      <c r="M11" s="40">
        <v>75.555555555555557</v>
      </c>
      <c r="N11" s="40">
        <v>77.272727272727266</v>
      </c>
      <c r="O11" s="40">
        <v>80</v>
      </c>
      <c r="P11" s="143">
        <v>0.15</v>
      </c>
      <c r="Q11" s="128"/>
      <c r="R11" s="82"/>
      <c r="S11" s="67"/>
      <c r="T11" s="67"/>
      <c r="U11" s="67"/>
      <c r="V11" s="67"/>
      <c r="W11" s="129"/>
      <c r="X11" s="128"/>
      <c r="Y11" s="82"/>
      <c r="Z11" s="67"/>
      <c r="AA11" s="72"/>
      <c r="AB11" s="72"/>
      <c r="AC11" s="72"/>
      <c r="AD11" s="139"/>
      <c r="AE11"/>
    </row>
    <row r="12" spans="1:33" s="76" customFormat="1" ht="16.5" hidden="1" customHeight="1" thickTop="1" thickBot="1" x14ac:dyDescent="0.3">
      <c r="A12" s="14" t="s">
        <v>63</v>
      </c>
      <c r="B12" s="18"/>
      <c r="C12" s="4">
        <v>288</v>
      </c>
      <c r="D12" s="3" t="s">
        <v>60</v>
      </c>
      <c r="E12" s="31" t="s">
        <v>64</v>
      </c>
      <c r="F12" s="29" t="s">
        <v>65</v>
      </c>
      <c r="G12" s="40">
        <v>8.6440677966101696</v>
      </c>
      <c r="H12" s="40">
        <v>7.0881355932203398</v>
      </c>
      <c r="I12" s="40">
        <v>1.2758644067796612</v>
      </c>
      <c r="J12" s="21">
        <v>0</v>
      </c>
      <c r="K12" s="89">
        <v>8.3640000000000008</v>
      </c>
      <c r="L12" s="40">
        <v>9.0913043478260871</v>
      </c>
      <c r="M12" s="40">
        <v>9.2933333333333348</v>
      </c>
      <c r="N12" s="40">
        <v>9.5045454545454557</v>
      </c>
      <c r="O12" s="40">
        <v>10.199999999999999</v>
      </c>
      <c r="P12" s="143">
        <v>0.18</v>
      </c>
      <c r="Q12" s="128"/>
      <c r="R12" s="82"/>
      <c r="S12" s="67"/>
      <c r="T12" s="67"/>
      <c r="U12" s="67"/>
      <c r="V12" s="67"/>
      <c r="W12" s="129"/>
      <c r="X12" s="128"/>
      <c r="Y12" s="82"/>
      <c r="Z12" s="72"/>
      <c r="AA12" s="72"/>
      <c r="AB12" s="72"/>
      <c r="AC12" s="72"/>
      <c r="AD12" s="139"/>
      <c r="AE12"/>
    </row>
    <row r="13" spans="1:33" s="76" customFormat="1" ht="16.5" customHeight="1" thickTop="1" thickBot="1" x14ac:dyDescent="0.3">
      <c r="A13" s="14" t="s">
        <v>66</v>
      </c>
      <c r="B13" s="18"/>
      <c r="C13" s="5">
        <v>120</v>
      </c>
      <c r="D13" s="3" t="s">
        <v>67</v>
      </c>
      <c r="E13" s="31" t="s">
        <v>68</v>
      </c>
      <c r="F13" s="29" t="s">
        <v>69</v>
      </c>
      <c r="G13" s="40">
        <v>25.423728813559322</v>
      </c>
      <c r="H13" s="40">
        <v>20.847457627118647</v>
      </c>
      <c r="I13" s="40">
        <v>3.7525423728813565</v>
      </c>
      <c r="J13" s="21">
        <v>46783</v>
      </c>
      <c r="K13" s="89">
        <v>24.600000000000005</v>
      </c>
      <c r="L13" s="40">
        <v>26.739130434782613</v>
      </c>
      <c r="M13" s="40">
        <v>27.333333333333339</v>
      </c>
      <c r="N13" s="40">
        <v>27.95454545454546</v>
      </c>
      <c r="O13" s="40">
        <v>30</v>
      </c>
      <c r="P13" s="143">
        <v>0.18</v>
      </c>
      <c r="Q13" s="128"/>
      <c r="R13" s="82"/>
      <c r="S13" s="67"/>
      <c r="T13" s="67"/>
      <c r="U13" s="67"/>
      <c r="V13" s="67"/>
      <c r="W13" s="129"/>
      <c r="X13" s="128"/>
      <c r="Y13" s="82"/>
      <c r="Z13" s="72"/>
      <c r="AA13" s="72"/>
      <c r="AB13" s="72"/>
      <c r="AC13" s="72"/>
      <c r="AD13" s="139"/>
      <c r="AE13"/>
    </row>
    <row r="14" spans="1:33" s="76" customFormat="1" ht="47.25" customHeight="1" thickTop="1" thickBot="1" x14ac:dyDescent="0.3">
      <c r="A14" s="14" t="s">
        <v>70</v>
      </c>
      <c r="B14" s="18">
        <v>1</v>
      </c>
      <c r="C14" s="5">
        <v>150</v>
      </c>
      <c r="D14" s="3" t="s">
        <v>71</v>
      </c>
      <c r="E14" s="33" t="s">
        <v>72</v>
      </c>
      <c r="F14" s="28" t="s">
        <v>73</v>
      </c>
      <c r="G14" s="40">
        <v>30.508474576271187</v>
      </c>
      <c r="H14" s="40">
        <v>25.932203389830509</v>
      </c>
      <c r="I14" s="40">
        <v>4.667796610169491</v>
      </c>
      <c r="J14" s="23">
        <v>46752</v>
      </c>
      <c r="K14" s="89">
        <v>30.6</v>
      </c>
      <c r="L14" s="40">
        <v>33.260869565217391</v>
      </c>
      <c r="M14" s="40">
        <v>34</v>
      </c>
      <c r="N14" s="40">
        <v>34.772727272727273</v>
      </c>
      <c r="O14" s="77">
        <v>36</v>
      </c>
      <c r="P14" s="143">
        <v>0.15</v>
      </c>
      <c r="Q14" s="127" t="s">
        <v>50</v>
      </c>
      <c r="R14" s="116">
        <v>0.25</v>
      </c>
      <c r="S14" s="117">
        <f>O14*(100%-R14)</f>
        <v>27</v>
      </c>
      <c r="T14" s="67"/>
      <c r="U14" s="67"/>
      <c r="V14" s="67"/>
      <c r="W14" s="129"/>
      <c r="X14" s="128"/>
      <c r="Y14" s="82"/>
      <c r="Z14" s="72"/>
      <c r="AA14" s="72"/>
      <c r="AB14" s="72"/>
      <c r="AC14" s="72"/>
      <c r="AD14" s="139"/>
      <c r="AE14"/>
    </row>
    <row r="15" spans="1:33" s="76" customFormat="1" ht="31.5" customHeight="1" thickTop="1" thickBot="1" x14ac:dyDescent="0.3">
      <c r="A15" s="22" t="s">
        <v>74</v>
      </c>
      <c r="B15" s="19"/>
      <c r="C15" s="5">
        <v>100</v>
      </c>
      <c r="D15" s="108" t="s">
        <v>75</v>
      </c>
      <c r="E15" s="33" t="s">
        <v>76</v>
      </c>
      <c r="F15" s="17" t="s">
        <v>77</v>
      </c>
      <c r="G15" s="40">
        <v>27.966101694915256</v>
      </c>
      <c r="H15" s="40">
        <v>23.771186440677965</v>
      </c>
      <c r="I15" s="40">
        <v>4.2788135593220336</v>
      </c>
      <c r="J15" s="23">
        <v>46507</v>
      </c>
      <c r="K15" s="89">
        <v>28.049999999999997</v>
      </c>
      <c r="L15" s="40">
        <v>30.489130434782606</v>
      </c>
      <c r="M15" s="40">
        <v>31.166666666666664</v>
      </c>
      <c r="N15" s="40">
        <v>31.874999999999996</v>
      </c>
      <c r="O15" s="103">
        <v>33</v>
      </c>
      <c r="P15" s="143">
        <v>0.15</v>
      </c>
      <c r="Q15" s="128"/>
      <c r="R15" s="82"/>
      <c r="S15" s="67"/>
      <c r="T15" s="67"/>
      <c r="U15" s="67"/>
      <c r="V15" s="67"/>
      <c r="W15" s="129"/>
      <c r="X15" s="128"/>
      <c r="Y15" s="82"/>
      <c r="Z15" s="72"/>
      <c r="AA15" s="72"/>
      <c r="AB15" s="72"/>
      <c r="AC15" s="72"/>
      <c r="AD15" s="139"/>
      <c r="AE15"/>
    </row>
    <row r="16" spans="1:33" s="76" customFormat="1" ht="16.5" thickTop="1" thickBot="1" x14ac:dyDescent="0.3">
      <c r="A16" s="14" t="s">
        <v>78</v>
      </c>
      <c r="B16" s="18">
        <v>1</v>
      </c>
      <c r="C16" s="5">
        <v>260</v>
      </c>
      <c r="D16" s="3" t="s">
        <v>79</v>
      </c>
      <c r="E16" s="33" t="s">
        <v>80</v>
      </c>
      <c r="F16" s="17" t="s">
        <v>81</v>
      </c>
      <c r="G16" s="40">
        <v>50.084745762711869</v>
      </c>
      <c r="H16" s="40">
        <v>41.069491525423736</v>
      </c>
      <c r="I16" s="40">
        <v>7.3925084745762719</v>
      </c>
      <c r="J16" s="23">
        <v>46446</v>
      </c>
      <c r="K16" s="89">
        <v>48.46200000000001</v>
      </c>
      <c r="L16" s="40">
        <v>52.67608695652175</v>
      </c>
      <c r="M16" s="40">
        <v>53.846666666666678</v>
      </c>
      <c r="N16" s="40">
        <v>55.07045454545456</v>
      </c>
      <c r="O16" s="77">
        <v>59.1</v>
      </c>
      <c r="P16" s="143">
        <v>0.18</v>
      </c>
      <c r="Q16" s="127" t="s">
        <v>50</v>
      </c>
      <c r="R16" s="116">
        <v>0.24</v>
      </c>
      <c r="S16" s="117">
        <f>O16*(100%-R16)</f>
        <v>44.916000000000004</v>
      </c>
      <c r="T16" s="67"/>
      <c r="U16" s="67"/>
      <c r="V16" s="67"/>
      <c r="W16" s="129"/>
      <c r="X16" s="128"/>
      <c r="Y16" s="82"/>
      <c r="Z16" s="67"/>
      <c r="AA16" s="67"/>
      <c r="AB16" s="67"/>
      <c r="AC16" s="67"/>
      <c r="AD16" s="129"/>
      <c r="AE16"/>
    </row>
    <row r="17" spans="1:31" s="76" customFormat="1" ht="16.5" thickTop="1" thickBot="1" x14ac:dyDescent="0.3">
      <c r="A17" s="14" t="s">
        <v>82</v>
      </c>
      <c r="B17" s="19"/>
      <c r="C17" s="5">
        <v>120</v>
      </c>
      <c r="D17" s="3" t="s">
        <v>83</v>
      </c>
      <c r="E17" s="33" t="s">
        <v>84</v>
      </c>
      <c r="F17" s="17" t="s">
        <v>85</v>
      </c>
      <c r="G17" s="40">
        <v>13.559322033898306</v>
      </c>
      <c r="H17" s="40">
        <v>11.118644067796613</v>
      </c>
      <c r="I17" s="40">
        <v>2.0013559322033903</v>
      </c>
      <c r="J17" s="23">
        <v>46568</v>
      </c>
      <c r="K17" s="89">
        <v>13.120000000000003</v>
      </c>
      <c r="L17" s="40">
        <v>14.260869565217394</v>
      </c>
      <c r="M17" s="40">
        <v>14.577777777777781</v>
      </c>
      <c r="N17" s="40">
        <v>14.909090909090912</v>
      </c>
      <c r="O17" s="77">
        <v>16</v>
      </c>
      <c r="P17" s="143">
        <v>0.18</v>
      </c>
      <c r="Q17" s="127" t="s">
        <v>50</v>
      </c>
      <c r="R17" s="116">
        <v>0.5</v>
      </c>
      <c r="S17" s="117">
        <f>O17*(100%-R17)</f>
        <v>8</v>
      </c>
      <c r="T17" s="67"/>
      <c r="U17" s="67"/>
      <c r="V17" s="67"/>
      <c r="W17" s="129"/>
      <c r="X17" s="128"/>
      <c r="Y17" s="82"/>
      <c r="Z17" s="67"/>
      <c r="AA17" s="72"/>
      <c r="AB17" s="72"/>
      <c r="AC17" s="72"/>
      <c r="AD17" s="129"/>
      <c r="AE17"/>
    </row>
    <row r="18" spans="1:31" s="76" customFormat="1" ht="18" hidden="1" customHeight="1" thickTop="1" thickBot="1" x14ac:dyDescent="0.3">
      <c r="A18" s="13" t="s">
        <v>86</v>
      </c>
      <c r="B18" s="15">
        <v>1</v>
      </c>
      <c r="C18" s="15">
        <v>258</v>
      </c>
      <c r="D18" s="44" t="s">
        <v>87</v>
      </c>
      <c r="E18" s="50" t="s">
        <v>88</v>
      </c>
      <c r="F18" s="51" t="s">
        <v>89</v>
      </c>
      <c r="G18" s="78">
        <v>2.1186440677966103</v>
      </c>
      <c r="H18" s="78">
        <v>1.7372881355932206</v>
      </c>
      <c r="I18" s="78">
        <v>0.31271186440677967</v>
      </c>
      <c r="J18" s="20">
        <v>46811</v>
      </c>
      <c r="K18" s="89">
        <v>2.0500000000000003</v>
      </c>
      <c r="L18" s="78">
        <v>2.2282608695652177</v>
      </c>
      <c r="M18" s="78">
        <v>2.2777777777777781</v>
      </c>
      <c r="N18" s="78">
        <v>2.329545454545455</v>
      </c>
      <c r="O18" s="78">
        <v>2.5</v>
      </c>
      <c r="P18" s="144">
        <v>0.18</v>
      </c>
      <c r="Q18" s="130"/>
      <c r="R18" s="83"/>
      <c r="S18" s="70"/>
      <c r="T18" s="70"/>
      <c r="U18" s="70"/>
      <c r="V18" s="70"/>
      <c r="W18" s="131"/>
      <c r="X18" s="130"/>
      <c r="Y18" s="83"/>
      <c r="Z18" s="70"/>
      <c r="AA18" s="70"/>
      <c r="AB18" s="83"/>
      <c r="AC18" s="70"/>
      <c r="AD18" s="131"/>
      <c r="AE18"/>
    </row>
    <row r="19" spans="1:31" s="76" customFormat="1" ht="16.5" hidden="1" customHeight="1" thickTop="1" thickBot="1" x14ac:dyDescent="0.3">
      <c r="A19" s="13" t="s">
        <v>90</v>
      </c>
      <c r="B19" s="15"/>
      <c r="C19" s="15">
        <v>258</v>
      </c>
      <c r="D19" s="44" t="s">
        <v>91</v>
      </c>
      <c r="E19" s="50" t="s">
        <v>92</v>
      </c>
      <c r="F19" s="51" t="s">
        <v>93</v>
      </c>
      <c r="G19" s="78">
        <v>1.7542372881355932</v>
      </c>
      <c r="H19" s="78">
        <v>1.4384745762711866</v>
      </c>
      <c r="I19" s="78">
        <v>0.25892542372881355</v>
      </c>
      <c r="J19" s="20">
        <v>46265</v>
      </c>
      <c r="K19" s="89">
        <v>1.6974</v>
      </c>
      <c r="L19" s="78">
        <v>1.845</v>
      </c>
      <c r="M19" s="78">
        <v>1.8859999999999999</v>
      </c>
      <c r="N19" s="78">
        <v>1.9288636363636364</v>
      </c>
      <c r="O19" s="78">
        <v>2.0699999999999998</v>
      </c>
      <c r="P19" s="144">
        <v>0.18</v>
      </c>
      <c r="Q19" s="130"/>
      <c r="R19" s="83"/>
      <c r="S19" s="70"/>
      <c r="T19" s="73"/>
      <c r="U19" s="73"/>
      <c r="V19" s="73"/>
      <c r="W19" s="131"/>
      <c r="X19" s="130"/>
      <c r="Y19" s="83"/>
      <c r="Z19" s="70"/>
      <c r="AA19" s="73"/>
      <c r="AB19" s="73"/>
      <c r="AC19" s="73"/>
      <c r="AD19" s="131"/>
      <c r="AE19"/>
    </row>
    <row r="20" spans="1:31" s="76" customFormat="1" ht="16.5" thickTop="1" thickBot="1" x14ac:dyDescent="0.3">
      <c r="A20" s="13" t="s">
        <v>94</v>
      </c>
      <c r="B20" s="15">
        <v>1</v>
      </c>
      <c r="C20" s="15">
        <v>168</v>
      </c>
      <c r="D20" s="44" t="s">
        <v>95</v>
      </c>
      <c r="E20" s="50" t="s">
        <v>96</v>
      </c>
      <c r="F20" s="51" t="s">
        <v>97</v>
      </c>
      <c r="G20" s="78">
        <v>35.593220338983052</v>
      </c>
      <c r="H20" s="78">
        <v>29.186440677966104</v>
      </c>
      <c r="I20" s="78">
        <v>5.2535593220338983</v>
      </c>
      <c r="J20" s="20">
        <v>46752</v>
      </c>
      <c r="K20" s="89">
        <v>34.440000000000005</v>
      </c>
      <c r="L20" s="78">
        <v>37.434782608695656</v>
      </c>
      <c r="M20" s="78">
        <v>38.266666666666673</v>
      </c>
      <c r="N20" s="78">
        <v>39.13636363636364</v>
      </c>
      <c r="O20" s="78">
        <v>42</v>
      </c>
      <c r="P20" s="144">
        <v>0.18</v>
      </c>
      <c r="Q20" s="127" t="s">
        <v>50</v>
      </c>
      <c r="R20" s="116">
        <v>0.15</v>
      </c>
      <c r="S20" s="117">
        <f t="shared" ref="S20:S21" si="0">O20*(100%-R20)</f>
        <v>35.699999999999996</v>
      </c>
      <c r="T20" s="70"/>
      <c r="U20" s="70"/>
      <c r="V20" s="70"/>
      <c r="W20" s="131"/>
      <c r="X20" s="130"/>
      <c r="Y20" s="83"/>
      <c r="Z20" s="70"/>
      <c r="AA20" s="70"/>
      <c r="AB20" s="83"/>
      <c r="AC20" s="70"/>
      <c r="AD20" s="131"/>
      <c r="AE20"/>
    </row>
    <row r="21" spans="1:31" s="76" customFormat="1" ht="16.5" thickTop="1" thickBot="1" x14ac:dyDescent="0.3">
      <c r="A21" s="13" t="s">
        <v>98</v>
      </c>
      <c r="B21" s="15"/>
      <c r="C21" s="15">
        <v>120</v>
      </c>
      <c r="D21" s="109" t="s">
        <v>99</v>
      </c>
      <c r="E21" s="50" t="s">
        <v>44</v>
      </c>
      <c r="F21" s="51" t="s">
        <v>100</v>
      </c>
      <c r="G21" s="97">
        <v>53.13559322033899</v>
      </c>
      <c r="H21" s="98">
        <v>45.165254237288138</v>
      </c>
      <c r="I21" s="97">
        <v>8.129745762711865</v>
      </c>
      <c r="J21" s="20">
        <v>46965</v>
      </c>
      <c r="K21" s="96">
        <v>53.295000000000002</v>
      </c>
      <c r="L21" s="98">
        <v>57.929347826086953</v>
      </c>
      <c r="M21" s="98">
        <v>59.216666666666669</v>
      </c>
      <c r="N21" s="98">
        <v>60.5625</v>
      </c>
      <c r="O21" s="101">
        <v>62.7</v>
      </c>
      <c r="P21" s="144">
        <v>0.15</v>
      </c>
      <c r="Q21" s="127" t="s">
        <v>50</v>
      </c>
      <c r="R21" s="116">
        <v>0.1</v>
      </c>
      <c r="S21" s="117">
        <f t="shared" si="0"/>
        <v>56.430000000000007</v>
      </c>
      <c r="T21" s="70"/>
      <c r="U21" s="70"/>
      <c r="V21" s="70"/>
      <c r="W21" s="131"/>
      <c r="X21" s="130"/>
      <c r="Y21" s="83"/>
      <c r="Z21" s="70"/>
      <c r="AA21" s="70"/>
      <c r="AB21" s="83"/>
      <c r="AC21" s="70"/>
      <c r="AD21" s="131"/>
      <c r="AE21"/>
    </row>
    <row r="22" spans="1:31" s="76" customFormat="1" ht="16.5" thickTop="1" thickBot="1" x14ac:dyDescent="0.3">
      <c r="A22" s="13" t="s">
        <v>101</v>
      </c>
      <c r="B22" s="15">
        <v>1</v>
      </c>
      <c r="C22" s="15">
        <v>258</v>
      </c>
      <c r="D22" s="44" t="s">
        <v>99</v>
      </c>
      <c r="E22" s="50" t="s">
        <v>44</v>
      </c>
      <c r="F22" s="51" t="s">
        <v>102</v>
      </c>
      <c r="G22" s="78">
        <v>2.3305084745762712</v>
      </c>
      <c r="H22" s="78">
        <v>1.9110169491525426</v>
      </c>
      <c r="I22" s="78">
        <v>0.34398305084745767</v>
      </c>
      <c r="J22" s="20">
        <v>46843</v>
      </c>
      <c r="K22" s="89">
        <v>2.2550000000000003</v>
      </c>
      <c r="L22" s="78">
        <v>2.4510869565217392</v>
      </c>
      <c r="M22" s="78">
        <v>2.505555555555556</v>
      </c>
      <c r="N22" s="78">
        <v>2.5625000000000004</v>
      </c>
      <c r="O22" s="78">
        <v>2.75</v>
      </c>
      <c r="P22" s="144">
        <v>0.18</v>
      </c>
      <c r="Q22" s="130"/>
      <c r="R22" s="83"/>
      <c r="S22" s="70"/>
      <c r="T22" s="70"/>
      <c r="U22" s="70"/>
      <c r="V22" s="70"/>
      <c r="W22" s="131"/>
      <c r="X22" s="130"/>
      <c r="Y22" s="83"/>
      <c r="Z22" s="70"/>
      <c r="AA22" s="70"/>
      <c r="AB22" s="83"/>
      <c r="AC22" s="70"/>
      <c r="AD22" s="131"/>
      <c r="AE22"/>
    </row>
    <row r="23" spans="1:31" s="76" customFormat="1" ht="16.5" thickTop="1" thickBot="1" x14ac:dyDescent="0.3">
      <c r="A23" s="13" t="s">
        <v>103</v>
      </c>
      <c r="B23" s="15">
        <v>3</v>
      </c>
      <c r="C23" s="15">
        <v>128</v>
      </c>
      <c r="D23" s="44" t="s">
        <v>104</v>
      </c>
      <c r="E23" s="50" t="s">
        <v>105</v>
      </c>
      <c r="F23" s="51" t="s">
        <v>106</v>
      </c>
      <c r="G23" s="78">
        <v>32.949152542372886</v>
      </c>
      <c r="H23" s="78">
        <v>27.018305084745769</v>
      </c>
      <c r="I23" s="78">
        <v>4.8632949152542384</v>
      </c>
      <c r="J23" s="20">
        <v>46783</v>
      </c>
      <c r="K23" s="89">
        <v>31.881600000000006</v>
      </c>
      <c r="L23" s="78">
        <v>34.653913043478269</v>
      </c>
      <c r="M23" s="78">
        <v>35.424000000000007</v>
      </c>
      <c r="N23" s="78">
        <v>36.229090909090914</v>
      </c>
      <c r="O23" s="78">
        <v>38.880000000000003</v>
      </c>
      <c r="P23" s="144">
        <v>0.18</v>
      </c>
      <c r="Q23" s="127" t="s">
        <v>50</v>
      </c>
      <c r="R23" s="116">
        <v>0.1</v>
      </c>
      <c r="S23" s="117">
        <f>O23*(100%-R23)</f>
        <v>34.992000000000004</v>
      </c>
      <c r="T23" s="70"/>
      <c r="U23" s="70"/>
      <c r="V23" s="70"/>
      <c r="W23" s="131"/>
      <c r="X23" s="130"/>
      <c r="Y23" s="83"/>
      <c r="Z23" s="70"/>
      <c r="AA23" s="70"/>
      <c r="AB23" s="83"/>
      <c r="AC23" s="70"/>
      <c r="AD23" s="131"/>
      <c r="AE23"/>
    </row>
    <row r="24" spans="1:31" s="76" customFormat="1" ht="16.5" thickTop="1" thickBot="1" x14ac:dyDescent="0.3">
      <c r="A24" s="13" t="s">
        <v>107</v>
      </c>
      <c r="B24" s="15"/>
      <c r="C24" s="15">
        <v>258</v>
      </c>
      <c r="D24" s="44" t="s">
        <v>108</v>
      </c>
      <c r="E24" s="50" t="s">
        <v>109</v>
      </c>
      <c r="F24" s="51" t="s">
        <v>110</v>
      </c>
      <c r="G24" s="78">
        <v>4.7796610169491522</v>
      </c>
      <c r="H24" s="78">
        <v>3.9193220338983052</v>
      </c>
      <c r="I24" s="78">
        <v>0.70547796610169489</v>
      </c>
      <c r="J24" s="20">
        <v>46356</v>
      </c>
      <c r="K24" s="89">
        <v>4.6248000000000005</v>
      </c>
      <c r="L24" s="78">
        <v>5.0269565217391303</v>
      </c>
      <c r="M24" s="78">
        <v>5.1386666666666674</v>
      </c>
      <c r="N24" s="78">
        <v>5.2554545454545458</v>
      </c>
      <c r="O24" s="78">
        <v>5.64</v>
      </c>
      <c r="P24" s="144">
        <v>0.18</v>
      </c>
      <c r="Q24" s="130"/>
      <c r="R24" s="83"/>
      <c r="S24" s="70"/>
      <c r="T24" s="73"/>
      <c r="U24" s="73"/>
      <c r="V24" s="73"/>
      <c r="W24" s="131"/>
      <c r="X24" s="130"/>
      <c r="Y24" s="83"/>
      <c r="Z24" s="70"/>
      <c r="AA24" s="73"/>
      <c r="AB24" s="73"/>
      <c r="AC24" s="73"/>
      <c r="AD24" s="131"/>
      <c r="AE24"/>
    </row>
    <row r="25" spans="1:31" s="76" customFormat="1" ht="16.5" thickTop="1" thickBot="1" x14ac:dyDescent="0.3">
      <c r="A25" s="13" t="s">
        <v>111</v>
      </c>
      <c r="B25" s="15">
        <v>1</v>
      </c>
      <c r="C25" s="15">
        <v>120</v>
      </c>
      <c r="D25" s="109" t="s">
        <v>112</v>
      </c>
      <c r="E25" s="50" t="s">
        <v>113</v>
      </c>
      <c r="F25" s="51" t="s">
        <v>114</v>
      </c>
      <c r="G25" s="78">
        <v>1.9661016949152541</v>
      </c>
      <c r="H25" s="78">
        <v>1.6122033898305086</v>
      </c>
      <c r="I25" s="78">
        <v>0.29019661016949155</v>
      </c>
      <c r="J25" s="20">
        <v>46783</v>
      </c>
      <c r="K25" s="89">
        <v>1.9024000000000001</v>
      </c>
      <c r="L25" s="78">
        <v>2.0678260869565217</v>
      </c>
      <c r="M25" s="78">
        <v>2.113777777777778</v>
      </c>
      <c r="N25" s="78">
        <v>2.1618181818181821</v>
      </c>
      <c r="O25" s="102">
        <v>2.3199999999999998</v>
      </c>
      <c r="P25" s="144">
        <v>0.18</v>
      </c>
      <c r="Q25" s="127" t="s">
        <v>50</v>
      </c>
      <c r="R25" s="116">
        <v>0.14000000000000001</v>
      </c>
      <c r="S25" s="117">
        <f>O25*(100%-R25)</f>
        <v>1.9951999999999999</v>
      </c>
      <c r="T25" s="70"/>
      <c r="U25" s="70"/>
      <c r="V25" s="70"/>
      <c r="W25" s="131"/>
      <c r="X25" s="130"/>
      <c r="Y25" s="83"/>
      <c r="Z25" s="70"/>
      <c r="AA25" s="70"/>
      <c r="AB25" s="83"/>
      <c r="AC25" s="70"/>
      <c r="AD25" s="131"/>
      <c r="AE25"/>
    </row>
    <row r="26" spans="1:31" s="76" customFormat="1" ht="31.5" customHeight="1" thickTop="1" thickBot="1" x14ac:dyDescent="0.3">
      <c r="A26" s="13" t="s">
        <v>115</v>
      </c>
      <c r="B26" s="15">
        <v>1</v>
      </c>
      <c r="C26" s="15">
        <v>50</v>
      </c>
      <c r="D26" s="109" t="s">
        <v>116</v>
      </c>
      <c r="E26" s="50" t="s">
        <v>117</v>
      </c>
      <c r="F26" s="51" t="s">
        <v>118</v>
      </c>
      <c r="G26" s="78">
        <v>11.355932203389832</v>
      </c>
      <c r="H26" s="78">
        <v>9.3118644067796623</v>
      </c>
      <c r="I26" s="78">
        <v>1.6761355932203392</v>
      </c>
      <c r="J26" s="20">
        <v>46812</v>
      </c>
      <c r="K26" s="89">
        <v>10.988000000000001</v>
      </c>
      <c r="L26" s="78">
        <v>11.943478260869567</v>
      </c>
      <c r="M26" s="78">
        <v>12.20888888888889</v>
      </c>
      <c r="N26" s="78">
        <v>12.486363636363638</v>
      </c>
      <c r="O26" s="102">
        <v>13.4</v>
      </c>
      <c r="P26" s="144">
        <v>0.18</v>
      </c>
      <c r="Q26" s="130"/>
      <c r="R26" s="83"/>
      <c r="S26" s="70"/>
      <c r="T26" s="73"/>
      <c r="U26" s="73"/>
      <c r="V26" s="73"/>
      <c r="W26" s="131"/>
      <c r="X26" s="130"/>
      <c r="Y26" s="83"/>
      <c r="Z26" s="70"/>
      <c r="AA26" s="73"/>
      <c r="AB26" s="73"/>
      <c r="AC26" s="73"/>
      <c r="AD26" s="131"/>
      <c r="AE26"/>
    </row>
    <row r="27" spans="1:31" s="76" customFormat="1" ht="42.75" hidden="1" customHeight="1" thickTop="1" thickBot="1" x14ac:dyDescent="0.3">
      <c r="A27" s="13" t="s">
        <v>119</v>
      </c>
      <c r="B27" s="15">
        <v>1</v>
      </c>
      <c r="C27" s="15">
        <v>60</v>
      </c>
      <c r="D27" s="44" t="s">
        <v>120</v>
      </c>
      <c r="E27" s="50" t="s">
        <v>121</v>
      </c>
      <c r="F27" s="51" t="s">
        <v>73</v>
      </c>
      <c r="G27" s="78">
        <v>42.372881355932208</v>
      </c>
      <c r="H27" s="78">
        <v>36.016949152542374</v>
      </c>
      <c r="I27" s="78">
        <v>6.4830508474576272</v>
      </c>
      <c r="J27" s="20">
        <v>46752</v>
      </c>
      <c r="K27" s="89">
        <v>42.5</v>
      </c>
      <c r="L27" s="78">
        <v>46.195652173913039</v>
      </c>
      <c r="M27" s="78">
        <v>47.222222222222221</v>
      </c>
      <c r="N27" s="78">
        <v>48.295454545454547</v>
      </c>
      <c r="O27" s="78">
        <v>50</v>
      </c>
      <c r="P27" s="144">
        <v>0.15</v>
      </c>
      <c r="Q27" s="130"/>
      <c r="R27" s="83"/>
      <c r="S27" s="70"/>
      <c r="T27" s="73"/>
      <c r="U27" s="73"/>
      <c r="V27" s="73"/>
      <c r="W27" s="131"/>
      <c r="X27" s="130"/>
      <c r="Y27" s="83"/>
      <c r="Z27" s="70"/>
      <c r="AA27" s="73"/>
      <c r="AB27" s="73"/>
      <c r="AC27" s="73"/>
      <c r="AD27" s="131"/>
      <c r="AE27"/>
    </row>
    <row r="28" spans="1:31" s="76" customFormat="1" ht="42.75" hidden="1" customHeight="1" thickTop="1" thickBot="1" x14ac:dyDescent="0.3">
      <c r="A28" s="13" t="s">
        <v>122</v>
      </c>
      <c r="B28" s="15"/>
      <c r="C28" s="15">
        <v>54</v>
      </c>
      <c r="D28" s="44" t="s">
        <v>123</v>
      </c>
      <c r="E28" s="52" t="s">
        <v>124</v>
      </c>
      <c r="F28" s="51" t="s">
        <v>73</v>
      </c>
      <c r="G28" s="78">
        <v>49.152542372881356</v>
      </c>
      <c r="H28" s="78">
        <v>41.779661016949149</v>
      </c>
      <c r="I28" s="78">
        <v>7.5203389830508467</v>
      </c>
      <c r="J28" s="20">
        <v>46752</v>
      </c>
      <c r="K28" s="89">
        <v>49.3</v>
      </c>
      <c r="L28" s="78">
        <v>53.586956521739125</v>
      </c>
      <c r="M28" s="78">
        <v>54.777777777777771</v>
      </c>
      <c r="N28" s="78">
        <v>56.022727272727266</v>
      </c>
      <c r="O28" s="102">
        <v>58</v>
      </c>
      <c r="P28" s="144">
        <v>0.15</v>
      </c>
      <c r="Q28" s="130"/>
      <c r="R28" s="83"/>
      <c r="S28" s="70"/>
      <c r="T28" s="73"/>
      <c r="U28" s="73"/>
      <c r="V28" s="73"/>
      <c r="W28" s="131"/>
      <c r="X28" s="130"/>
      <c r="Y28" s="83"/>
      <c r="Z28" s="70"/>
      <c r="AA28" s="73"/>
      <c r="AB28" s="73"/>
      <c r="AC28" s="73"/>
      <c r="AD28" s="131"/>
      <c r="AE28"/>
    </row>
    <row r="29" spans="1:31" s="76" customFormat="1" ht="31.5" hidden="1" customHeight="1" thickTop="1" thickBot="1" x14ac:dyDescent="0.3">
      <c r="A29" s="13" t="s">
        <v>125</v>
      </c>
      <c r="B29" s="15"/>
      <c r="C29" s="15">
        <v>258</v>
      </c>
      <c r="D29" s="44" t="s">
        <v>126</v>
      </c>
      <c r="E29" s="50" t="s">
        <v>127</v>
      </c>
      <c r="F29" s="51" t="s">
        <v>128</v>
      </c>
      <c r="G29" s="78">
        <v>4.2372881355932206</v>
      </c>
      <c r="H29" s="78">
        <v>3.4745762711864412</v>
      </c>
      <c r="I29" s="78">
        <v>0.62542372881355934</v>
      </c>
      <c r="J29" s="20">
        <v>46356</v>
      </c>
      <c r="K29" s="89">
        <v>4.1000000000000005</v>
      </c>
      <c r="L29" s="78">
        <v>4.4565217391304355</v>
      </c>
      <c r="M29" s="78">
        <v>4.5555555555555562</v>
      </c>
      <c r="N29" s="78">
        <v>4.6590909090909101</v>
      </c>
      <c r="O29" s="78">
        <v>5</v>
      </c>
      <c r="P29" s="144">
        <v>0.18</v>
      </c>
      <c r="Q29" s="130"/>
      <c r="R29" s="83"/>
      <c r="S29" s="70"/>
      <c r="T29" s="114">
        <v>1</v>
      </c>
      <c r="U29" s="115" t="s">
        <v>29</v>
      </c>
      <c r="V29" s="115">
        <v>1</v>
      </c>
      <c r="W29" s="147">
        <f>(O29*T29)/(T29+V29)</f>
        <v>2.5</v>
      </c>
      <c r="X29" s="130"/>
      <c r="Y29" s="83"/>
      <c r="Z29" s="70"/>
      <c r="AA29" s="114">
        <v>20</v>
      </c>
      <c r="AB29" s="115" t="s">
        <v>29</v>
      </c>
      <c r="AC29" s="115">
        <v>10</v>
      </c>
      <c r="AD29" s="147">
        <f>(N29*AA29)/(AA29+AC29)</f>
        <v>3.1060606060606069</v>
      </c>
      <c r="AE29"/>
    </row>
    <row r="30" spans="1:31" s="76" customFormat="1" ht="16.5" customHeight="1" thickTop="1" thickBot="1" x14ac:dyDescent="0.3">
      <c r="A30" s="13" t="s">
        <v>129</v>
      </c>
      <c r="B30" s="15"/>
      <c r="C30" s="15">
        <v>60</v>
      </c>
      <c r="D30" s="109" t="s">
        <v>130</v>
      </c>
      <c r="E30" s="50" t="s">
        <v>131</v>
      </c>
      <c r="F30" s="51" t="s">
        <v>132</v>
      </c>
      <c r="G30" s="78">
        <v>18.601694915254239</v>
      </c>
      <c r="H30" s="78">
        <v>15.253389830508477</v>
      </c>
      <c r="I30" s="78">
        <v>2.7456101694915258</v>
      </c>
      <c r="J30" s="20">
        <v>46538</v>
      </c>
      <c r="K30" s="89">
        <v>17.999000000000002</v>
      </c>
      <c r="L30" s="78">
        <v>19.564130434782612</v>
      </c>
      <c r="M30" s="78">
        <v>19.998888888888892</v>
      </c>
      <c r="N30" s="78">
        <v>20.453409090909094</v>
      </c>
      <c r="O30" s="102">
        <v>21.95</v>
      </c>
      <c r="P30" s="144">
        <v>0.18</v>
      </c>
      <c r="Q30" s="127" t="s">
        <v>50</v>
      </c>
      <c r="R30" s="116">
        <v>0.25</v>
      </c>
      <c r="S30" s="117">
        <f>O30*(100%-R30)</f>
        <v>16.462499999999999</v>
      </c>
      <c r="T30" s="70"/>
      <c r="U30" s="70"/>
      <c r="V30" s="70"/>
      <c r="W30" s="131"/>
      <c r="X30" s="130"/>
      <c r="Y30" s="83"/>
      <c r="Z30" s="70"/>
      <c r="AA30" s="70"/>
      <c r="AB30" s="70"/>
      <c r="AC30" s="70"/>
      <c r="AD30" s="131"/>
      <c r="AE30"/>
    </row>
    <row r="31" spans="1:31" s="76" customFormat="1" ht="16.5" hidden="1" customHeight="1" thickTop="1" thickBot="1" x14ac:dyDescent="0.3">
      <c r="A31" s="13" t="s">
        <v>133</v>
      </c>
      <c r="B31" s="15"/>
      <c r="C31" s="15">
        <v>60</v>
      </c>
      <c r="D31" s="44" t="s">
        <v>134</v>
      </c>
      <c r="E31" s="50" t="s">
        <v>131</v>
      </c>
      <c r="F31" s="51" t="s">
        <v>135</v>
      </c>
      <c r="G31" s="78">
        <v>28.262711864406782</v>
      </c>
      <c r="H31" s="78">
        <v>23.175423728813563</v>
      </c>
      <c r="I31" s="78">
        <v>4.1715762711864413</v>
      </c>
      <c r="J31" s="20">
        <v>46538</v>
      </c>
      <c r="K31" s="89">
        <v>27.347000000000005</v>
      </c>
      <c r="L31" s="78">
        <v>29.725000000000005</v>
      </c>
      <c r="M31" s="78">
        <v>30.385555555555559</v>
      </c>
      <c r="N31" s="78">
        <v>31.076136363636369</v>
      </c>
      <c r="O31" s="78">
        <v>33.35</v>
      </c>
      <c r="P31" s="144">
        <v>0.18</v>
      </c>
      <c r="Q31" s="130"/>
      <c r="R31" s="83"/>
      <c r="S31" s="70"/>
      <c r="T31" s="70"/>
      <c r="U31" s="70"/>
      <c r="V31" s="70"/>
      <c r="W31" s="131"/>
      <c r="X31" s="130"/>
      <c r="Y31" s="83"/>
      <c r="Z31" s="70"/>
      <c r="AA31" s="70"/>
      <c r="AB31" s="70"/>
      <c r="AC31" s="70"/>
      <c r="AD31" s="131"/>
      <c r="AE31"/>
    </row>
    <row r="32" spans="1:31" s="76" customFormat="1" ht="16.5" hidden="1" customHeight="1" thickTop="1" thickBot="1" x14ac:dyDescent="0.3">
      <c r="A32" s="13" t="s">
        <v>136</v>
      </c>
      <c r="B32" s="15"/>
      <c r="C32" s="16">
        <v>120</v>
      </c>
      <c r="D32" s="109" t="s">
        <v>137</v>
      </c>
      <c r="E32" s="53" t="s">
        <v>138</v>
      </c>
      <c r="F32" s="54" t="s">
        <v>139</v>
      </c>
      <c r="G32" s="78">
        <v>110.16949152542374</v>
      </c>
      <c r="H32" s="78">
        <v>90.338983050847474</v>
      </c>
      <c r="I32" s="78">
        <v>16.261016949152545</v>
      </c>
      <c r="J32" s="20">
        <v>46873</v>
      </c>
      <c r="K32" s="89">
        <v>106.60000000000002</v>
      </c>
      <c r="L32" s="78">
        <v>115.86956521739133</v>
      </c>
      <c r="M32" s="78">
        <v>118.44444444444447</v>
      </c>
      <c r="N32" s="78">
        <v>121.13636363636367</v>
      </c>
      <c r="O32" s="102">
        <v>130</v>
      </c>
      <c r="P32" s="144">
        <v>0.18</v>
      </c>
      <c r="Q32" s="130"/>
      <c r="R32" s="83"/>
      <c r="S32" s="70"/>
      <c r="T32" s="73"/>
      <c r="U32" s="73"/>
      <c r="V32" s="73"/>
      <c r="W32" s="131"/>
      <c r="X32" s="130"/>
      <c r="Y32" s="83"/>
      <c r="Z32" s="70"/>
      <c r="AA32" s="73"/>
      <c r="AB32" s="73"/>
      <c r="AC32" s="73"/>
      <c r="AD32" s="131"/>
      <c r="AE32"/>
    </row>
    <row r="33" spans="1:31" s="76" customFormat="1" ht="16.5" thickTop="1" thickBot="1" x14ac:dyDescent="0.3">
      <c r="A33" s="34" t="s">
        <v>140</v>
      </c>
      <c r="B33" s="35">
        <v>1</v>
      </c>
      <c r="C33" s="35">
        <v>12</v>
      </c>
      <c r="D33" s="110" t="s">
        <v>141</v>
      </c>
      <c r="E33" s="55" t="s">
        <v>141</v>
      </c>
      <c r="F33" s="56" t="s">
        <v>142</v>
      </c>
      <c r="G33" s="79">
        <v>103.38983050847459</v>
      </c>
      <c r="H33" s="79">
        <v>84.779661016949163</v>
      </c>
      <c r="I33" s="79">
        <v>15.260338983050849</v>
      </c>
      <c r="J33" s="27">
        <v>46752</v>
      </c>
      <c r="K33" s="89">
        <v>100.04</v>
      </c>
      <c r="L33" s="79">
        <v>108.73913043478261</v>
      </c>
      <c r="M33" s="79">
        <v>111.15555555555557</v>
      </c>
      <c r="N33" s="79">
        <v>113.68181818181819</v>
      </c>
      <c r="O33" s="100">
        <v>122</v>
      </c>
      <c r="P33" s="145">
        <v>0.18</v>
      </c>
      <c r="Q33" s="132"/>
      <c r="R33" s="86"/>
      <c r="S33" s="71"/>
      <c r="T33" s="71"/>
      <c r="U33" s="71"/>
      <c r="V33" s="71"/>
      <c r="W33" s="133"/>
      <c r="X33" s="132"/>
      <c r="Y33" s="86"/>
      <c r="Z33" s="71"/>
      <c r="AA33" s="71"/>
      <c r="AB33" s="71"/>
      <c r="AC33" s="71"/>
      <c r="AD33" s="133"/>
      <c r="AE33"/>
    </row>
    <row r="34" spans="1:31" s="76" customFormat="1" ht="16.5" hidden="1" customHeight="1" thickTop="1" thickBot="1" x14ac:dyDescent="0.3">
      <c r="A34" s="34" t="s">
        <v>143</v>
      </c>
      <c r="B34" s="35"/>
      <c r="C34" s="35">
        <v>120</v>
      </c>
      <c r="D34" s="45" t="s">
        <v>138</v>
      </c>
      <c r="E34" s="55" t="s">
        <v>138</v>
      </c>
      <c r="F34" s="56" t="s">
        <v>139</v>
      </c>
      <c r="G34" s="79">
        <v>72.033898305084747</v>
      </c>
      <c r="H34" s="79">
        <v>59.067796610169495</v>
      </c>
      <c r="I34" s="79">
        <v>10.632203389830508</v>
      </c>
      <c r="J34" s="27">
        <v>46873</v>
      </c>
      <c r="K34" s="89">
        <v>69.7</v>
      </c>
      <c r="L34" s="79">
        <v>75.760869565217391</v>
      </c>
      <c r="M34" s="79">
        <v>77.444444444444443</v>
      </c>
      <c r="N34" s="79">
        <v>79.204545454545453</v>
      </c>
      <c r="O34" s="79">
        <v>85</v>
      </c>
      <c r="P34" s="145">
        <v>0.18</v>
      </c>
      <c r="Q34" s="132"/>
      <c r="R34" s="86"/>
      <c r="S34" s="71"/>
      <c r="T34" s="71"/>
      <c r="U34" s="71"/>
      <c r="V34" s="71"/>
      <c r="W34" s="133"/>
      <c r="X34" s="132"/>
      <c r="Y34" s="86"/>
      <c r="Z34" s="71"/>
      <c r="AA34" s="71"/>
      <c r="AB34" s="71"/>
      <c r="AC34" s="71"/>
      <c r="AD34" s="133"/>
      <c r="AE34"/>
    </row>
    <row r="35" spans="1:31" s="76" customFormat="1" ht="16.5" hidden="1" customHeight="1" thickTop="1" thickBot="1" x14ac:dyDescent="0.3">
      <c r="A35" s="34" t="s">
        <v>144</v>
      </c>
      <c r="B35" s="35"/>
      <c r="C35" s="35">
        <v>400</v>
      </c>
      <c r="D35" s="110" t="s">
        <v>145</v>
      </c>
      <c r="E35" s="55" t="s">
        <v>146</v>
      </c>
      <c r="F35" s="56" t="s">
        <v>147</v>
      </c>
      <c r="G35" s="79">
        <v>9.296610169491526</v>
      </c>
      <c r="H35" s="79">
        <v>7.6232203389830522</v>
      </c>
      <c r="I35" s="79">
        <v>1.3721796610169494</v>
      </c>
      <c r="J35" s="27">
        <v>46660</v>
      </c>
      <c r="K35" s="89">
        <v>8.9954000000000018</v>
      </c>
      <c r="L35" s="79">
        <v>9.7776086956521748</v>
      </c>
      <c r="M35" s="79">
        <v>9.9948888888888909</v>
      </c>
      <c r="N35" s="79">
        <v>10.222045454545457</v>
      </c>
      <c r="O35" s="100">
        <v>10.97</v>
      </c>
      <c r="P35" s="145">
        <v>0.18</v>
      </c>
      <c r="Q35" s="132"/>
      <c r="R35" s="86"/>
      <c r="S35" s="71"/>
      <c r="T35" s="71"/>
      <c r="U35" s="71"/>
      <c r="V35" s="71"/>
      <c r="W35" s="133"/>
      <c r="X35" s="132"/>
      <c r="Y35" s="86"/>
      <c r="Z35" s="71"/>
      <c r="AA35" s="71"/>
      <c r="AB35" s="71"/>
      <c r="AC35" s="71"/>
      <c r="AD35" s="133"/>
      <c r="AE35"/>
    </row>
    <row r="36" spans="1:31" s="76" customFormat="1" ht="16.5" thickTop="1" thickBot="1" x14ac:dyDescent="0.3">
      <c r="A36" s="34" t="s">
        <v>148</v>
      </c>
      <c r="B36" s="35">
        <v>1</v>
      </c>
      <c r="C36" s="35">
        <v>105</v>
      </c>
      <c r="D36" s="45" t="s">
        <v>96</v>
      </c>
      <c r="E36" s="55" t="s">
        <v>96</v>
      </c>
      <c r="F36" s="56" t="s">
        <v>149</v>
      </c>
      <c r="G36" s="79">
        <v>42.372881355932208</v>
      </c>
      <c r="H36" s="79">
        <v>34.745762711864415</v>
      </c>
      <c r="I36" s="79">
        <v>6.2542372881355943</v>
      </c>
      <c r="J36" s="27">
        <v>46752</v>
      </c>
      <c r="K36" s="89">
        <v>41.000000000000007</v>
      </c>
      <c r="L36" s="79">
        <v>44.565217391304351</v>
      </c>
      <c r="M36" s="79">
        <v>45.555555555555564</v>
      </c>
      <c r="N36" s="79">
        <v>46.590909090909101</v>
      </c>
      <c r="O36" s="79">
        <v>50</v>
      </c>
      <c r="P36" s="145">
        <v>0.18</v>
      </c>
      <c r="Q36" s="127" t="s">
        <v>50</v>
      </c>
      <c r="R36" s="116">
        <v>0.25</v>
      </c>
      <c r="S36" s="117">
        <f>O36*(100%-R36)</f>
        <v>37.5</v>
      </c>
      <c r="T36" s="71"/>
      <c r="U36" s="71"/>
      <c r="V36" s="71"/>
      <c r="W36" s="133"/>
      <c r="X36" s="140"/>
      <c r="Y36" s="105"/>
      <c r="Z36" s="106"/>
      <c r="AA36" s="71"/>
      <c r="AB36" s="71"/>
      <c r="AC36" s="71"/>
      <c r="AD36" s="133"/>
      <c r="AE36"/>
    </row>
    <row r="37" spans="1:31" s="76" customFormat="1" ht="16.5" hidden="1" customHeight="1" thickTop="1" thickBot="1" x14ac:dyDescent="0.3">
      <c r="A37" s="34" t="s">
        <v>150</v>
      </c>
      <c r="B37" s="35"/>
      <c r="C37" s="35">
        <v>400</v>
      </c>
      <c r="D37" s="45" t="s">
        <v>151</v>
      </c>
      <c r="E37" s="55" t="s">
        <v>151</v>
      </c>
      <c r="F37" s="56" t="s">
        <v>152</v>
      </c>
      <c r="G37" s="79">
        <v>2.9661016949152543</v>
      </c>
      <c r="H37" s="79">
        <v>2.4322033898305087</v>
      </c>
      <c r="I37" s="79">
        <v>0.43779661016949156</v>
      </c>
      <c r="J37" s="27">
        <v>46843</v>
      </c>
      <c r="K37" s="89">
        <v>2.87</v>
      </c>
      <c r="L37" s="79">
        <v>3.1195652173913042</v>
      </c>
      <c r="M37" s="79">
        <v>3.1888888888888891</v>
      </c>
      <c r="N37" s="79">
        <v>3.2613636363636367</v>
      </c>
      <c r="O37" s="79">
        <v>3.5</v>
      </c>
      <c r="P37" s="145">
        <v>0.18</v>
      </c>
      <c r="Q37" s="132"/>
      <c r="R37" s="86"/>
      <c r="S37" s="71"/>
      <c r="T37" s="71"/>
      <c r="U37" s="71"/>
      <c r="V37" s="71"/>
      <c r="W37" s="133"/>
      <c r="X37" s="132"/>
      <c r="Y37" s="86"/>
      <c r="Z37" s="71"/>
      <c r="AA37" s="71"/>
      <c r="AB37" s="71"/>
      <c r="AC37" s="71"/>
      <c r="AD37" s="133"/>
      <c r="AE37"/>
    </row>
    <row r="38" spans="1:31" s="76" customFormat="1" ht="16.5" hidden="1" customHeight="1" thickTop="1" thickBot="1" x14ac:dyDescent="0.3">
      <c r="A38" s="34" t="s">
        <v>153</v>
      </c>
      <c r="B38" s="35">
        <v>1</v>
      </c>
      <c r="C38" s="35">
        <v>24</v>
      </c>
      <c r="D38" s="45" t="s">
        <v>154</v>
      </c>
      <c r="E38" s="55" t="s">
        <v>154</v>
      </c>
      <c r="F38" s="56" t="s">
        <v>155</v>
      </c>
      <c r="G38" s="79">
        <v>16.483050847457626</v>
      </c>
      <c r="H38" s="79">
        <v>13.516101694915255</v>
      </c>
      <c r="I38" s="79">
        <v>2.4328983050847457</v>
      </c>
      <c r="J38" s="27">
        <v>46630</v>
      </c>
      <c r="K38" s="89">
        <v>15.949000000000002</v>
      </c>
      <c r="L38" s="79">
        <v>17.335869565217394</v>
      </c>
      <c r="M38" s="79">
        <v>17.721111111111114</v>
      </c>
      <c r="N38" s="79">
        <v>18.123863636363637</v>
      </c>
      <c r="O38" s="79">
        <v>19.45</v>
      </c>
      <c r="P38" s="145">
        <v>0.18</v>
      </c>
      <c r="Q38" s="132"/>
      <c r="R38" s="86"/>
      <c r="S38" s="71"/>
      <c r="T38" s="71"/>
      <c r="U38" s="71"/>
      <c r="V38" s="71"/>
      <c r="W38" s="133"/>
      <c r="X38" s="132"/>
      <c r="Y38" s="86"/>
      <c r="Z38" s="71"/>
      <c r="AA38" s="71"/>
      <c r="AB38" s="71"/>
      <c r="AC38" s="71"/>
      <c r="AD38" s="133"/>
      <c r="AE38"/>
    </row>
    <row r="39" spans="1:31" s="76" customFormat="1" ht="16.5" hidden="1" customHeight="1" thickTop="1" thickBot="1" x14ac:dyDescent="0.3">
      <c r="A39" s="34" t="s">
        <v>156</v>
      </c>
      <c r="B39" s="35"/>
      <c r="C39" s="35">
        <v>120</v>
      </c>
      <c r="D39" s="45" t="s">
        <v>157</v>
      </c>
      <c r="E39" s="55" t="s">
        <v>113</v>
      </c>
      <c r="F39" s="56" t="s">
        <v>158</v>
      </c>
      <c r="G39" s="79">
        <v>6.9067796610169498</v>
      </c>
      <c r="H39" s="79">
        <v>5.6635593220338993</v>
      </c>
      <c r="I39" s="79">
        <v>1.0194406779661018</v>
      </c>
      <c r="J39" s="27">
        <v>46873</v>
      </c>
      <c r="K39" s="89">
        <v>6.6830000000000016</v>
      </c>
      <c r="L39" s="79">
        <v>7.4255555555555572</v>
      </c>
      <c r="M39" s="79">
        <v>7.594318181818184</v>
      </c>
      <c r="N39" s="79">
        <v>8.1500000000000021</v>
      </c>
      <c r="O39" s="79">
        <v>8.15</v>
      </c>
      <c r="P39" s="145">
        <v>0.18</v>
      </c>
      <c r="Q39" s="132"/>
      <c r="R39" s="86"/>
      <c r="S39" s="71"/>
      <c r="T39" s="71"/>
      <c r="U39" s="71"/>
      <c r="V39" s="71"/>
      <c r="W39" s="133"/>
      <c r="X39" s="132"/>
      <c r="Y39" s="86"/>
      <c r="Z39" s="71"/>
      <c r="AA39" s="71"/>
      <c r="AB39" s="71"/>
      <c r="AC39" s="71"/>
      <c r="AD39" s="133"/>
      <c r="AE39"/>
    </row>
    <row r="40" spans="1:31" s="76" customFormat="1" ht="16.5" thickTop="1" thickBot="1" x14ac:dyDescent="0.3">
      <c r="A40" s="34" t="s">
        <v>159</v>
      </c>
      <c r="B40" s="35"/>
      <c r="C40" s="35">
        <v>120</v>
      </c>
      <c r="D40" s="45" t="s">
        <v>160</v>
      </c>
      <c r="E40" s="55" t="s">
        <v>161</v>
      </c>
      <c r="F40" s="56" t="s">
        <v>162</v>
      </c>
      <c r="G40" s="79">
        <v>33.050847457627121</v>
      </c>
      <c r="H40" s="79">
        <v>28.093220338983052</v>
      </c>
      <c r="I40" s="79">
        <v>5.0567796610169493</v>
      </c>
      <c r="J40" s="27">
        <v>46965</v>
      </c>
      <c r="K40" s="89">
        <v>33.15</v>
      </c>
      <c r="L40" s="79">
        <v>36.032608695652172</v>
      </c>
      <c r="M40" s="79">
        <v>36.833333333333329</v>
      </c>
      <c r="N40" s="79">
        <v>37.670454545454547</v>
      </c>
      <c r="O40" s="79">
        <v>39</v>
      </c>
      <c r="P40" s="145">
        <v>0.15</v>
      </c>
      <c r="Q40" s="132"/>
      <c r="R40" s="86"/>
      <c r="S40" s="71"/>
      <c r="T40" s="71"/>
      <c r="U40" s="71"/>
      <c r="V40" s="71"/>
      <c r="W40" s="133"/>
      <c r="X40" s="141"/>
      <c r="Y40" s="86"/>
      <c r="Z40" s="71"/>
      <c r="AA40" s="71"/>
      <c r="AB40" s="71"/>
      <c r="AC40" s="71"/>
      <c r="AD40" s="133"/>
      <c r="AE40"/>
    </row>
    <row r="41" spans="1:31" s="76" customFormat="1" ht="16.5" hidden="1" customHeight="1" thickTop="1" thickBot="1" x14ac:dyDescent="0.3">
      <c r="A41" s="34" t="s">
        <v>163</v>
      </c>
      <c r="B41" s="35">
        <v>1</v>
      </c>
      <c r="C41" s="35">
        <v>24</v>
      </c>
      <c r="D41" s="45" t="s">
        <v>160</v>
      </c>
      <c r="E41" s="55" t="s">
        <v>161</v>
      </c>
      <c r="F41" s="56" t="s">
        <v>164</v>
      </c>
      <c r="G41" s="79">
        <v>16.483050847457626</v>
      </c>
      <c r="H41" s="79">
        <v>13.516101694915255</v>
      </c>
      <c r="I41" s="79">
        <v>2.4328983050847457</v>
      </c>
      <c r="J41" s="27">
        <v>46843</v>
      </c>
      <c r="K41" s="89">
        <v>15.949000000000002</v>
      </c>
      <c r="L41" s="79">
        <v>17.335869565217394</v>
      </c>
      <c r="M41" s="79">
        <v>17.721111111111114</v>
      </c>
      <c r="N41" s="79">
        <v>18.123863636363637</v>
      </c>
      <c r="O41" s="79">
        <v>19.45</v>
      </c>
      <c r="P41" s="145">
        <v>0.18</v>
      </c>
      <c r="Q41" s="132"/>
      <c r="R41" s="86"/>
      <c r="S41" s="71"/>
      <c r="T41" s="71"/>
      <c r="U41" s="71"/>
      <c r="V41" s="71"/>
      <c r="W41" s="133"/>
      <c r="X41" s="132"/>
      <c r="Y41" s="86"/>
      <c r="Z41" s="71"/>
      <c r="AA41" s="71"/>
      <c r="AB41" s="71"/>
      <c r="AC41" s="71"/>
      <c r="AD41" s="133"/>
      <c r="AE41"/>
    </row>
    <row r="42" spans="1:31" s="76" customFormat="1" ht="16.5" customHeight="1" thickTop="1" thickBot="1" x14ac:dyDescent="0.3">
      <c r="A42" s="34" t="s">
        <v>165</v>
      </c>
      <c r="B42" s="35"/>
      <c r="C42" s="35">
        <v>330</v>
      </c>
      <c r="D42" s="45" t="s">
        <v>166</v>
      </c>
      <c r="E42" s="55" t="s">
        <v>166</v>
      </c>
      <c r="F42" s="56" t="s">
        <v>167</v>
      </c>
      <c r="G42" s="79">
        <v>6.6525423728813564</v>
      </c>
      <c r="H42" s="79">
        <v>5.4550847457627123</v>
      </c>
      <c r="I42" s="79">
        <v>0.9819152542372882</v>
      </c>
      <c r="J42" s="27">
        <v>46418</v>
      </c>
      <c r="K42" s="89">
        <v>6.4370000000000003</v>
      </c>
      <c r="L42" s="79">
        <v>6.9967391304347828</v>
      </c>
      <c r="M42" s="79">
        <v>7.152222222222222</v>
      </c>
      <c r="N42" s="79">
        <v>7.3147727272727279</v>
      </c>
      <c r="O42" s="79">
        <v>7.85</v>
      </c>
      <c r="P42" s="145">
        <v>0.18</v>
      </c>
      <c r="Q42" s="127" t="s">
        <v>50</v>
      </c>
      <c r="R42" s="116">
        <v>0.28000000000000003</v>
      </c>
      <c r="S42" s="117">
        <f>O42*(100%-R42)</f>
        <v>5.6519999999999992</v>
      </c>
      <c r="T42" s="71"/>
      <c r="U42" s="71"/>
      <c r="V42" s="71"/>
      <c r="W42" s="133"/>
      <c r="X42" s="132"/>
      <c r="Y42" s="86"/>
      <c r="Z42" s="71"/>
      <c r="AA42" s="71"/>
      <c r="AB42" s="71"/>
      <c r="AC42" s="71"/>
      <c r="AD42" s="133"/>
      <c r="AE42"/>
    </row>
    <row r="43" spans="1:31" s="76" customFormat="1" ht="16.5" hidden="1" customHeight="1" thickTop="1" thickBot="1" x14ac:dyDescent="0.3">
      <c r="A43" s="34" t="s">
        <v>168</v>
      </c>
      <c r="B43" s="35"/>
      <c r="C43" s="35">
        <v>280</v>
      </c>
      <c r="D43" s="45" t="s">
        <v>169</v>
      </c>
      <c r="E43" s="55" t="s">
        <v>170</v>
      </c>
      <c r="F43" s="56" t="s">
        <v>171</v>
      </c>
      <c r="G43" s="79">
        <v>18.601694915254239</v>
      </c>
      <c r="H43" s="79">
        <v>15.253389830508477</v>
      </c>
      <c r="I43" s="79">
        <v>2.7456101694915258</v>
      </c>
      <c r="J43" s="27">
        <v>46812</v>
      </c>
      <c r="K43" s="89">
        <v>17.999000000000002</v>
      </c>
      <c r="L43" s="79">
        <v>19.564130434782612</v>
      </c>
      <c r="M43" s="79">
        <v>19.998888888888892</v>
      </c>
      <c r="N43" s="79">
        <v>20.453409090909094</v>
      </c>
      <c r="O43" s="79">
        <v>21.95</v>
      </c>
      <c r="P43" s="145">
        <v>0.18</v>
      </c>
      <c r="Q43" s="132"/>
      <c r="R43" s="86"/>
      <c r="S43" s="71"/>
      <c r="T43" s="71"/>
      <c r="U43" s="71"/>
      <c r="V43" s="71"/>
      <c r="W43" s="133"/>
      <c r="X43" s="132"/>
      <c r="Y43" s="86"/>
      <c r="Z43" s="71"/>
      <c r="AA43" s="71"/>
      <c r="AB43" s="71"/>
      <c r="AC43" s="71"/>
      <c r="AD43" s="133"/>
      <c r="AE43"/>
    </row>
    <row r="44" spans="1:31" s="76" customFormat="1" ht="16.5" hidden="1" customHeight="1" thickTop="1" thickBot="1" x14ac:dyDescent="0.3">
      <c r="A44" s="34" t="s">
        <v>172</v>
      </c>
      <c r="B44" s="35">
        <v>1</v>
      </c>
      <c r="C44" s="35">
        <v>24</v>
      </c>
      <c r="D44" s="45" t="s">
        <v>88</v>
      </c>
      <c r="E44" s="55" t="s">
        <v>88</v>
      </c>
      <c r="F44" s="56" t="s">
        <v>173</v>
      </c>
      <c r="G44" s="79">
        <v>25.423728813559322</v>
      </c>
      <c r="H44" s="79">
        <v>20.847457627118647</v>
      </c>
      <c r="I44" s="79">
        <v>3.7525423728813565</v>
      </c>
      <c r="J44" s="27">
        <v>46691</v>
      </c>
      <c r="K44" s="89">
        <v>24.600000000000005</v>
      </c>
      <c r="L44" s="79">
        <v>26.739130434782613</v>
      </c>
      <c r="M44" s="79">
        <v>27.333333333333339</v>
      </c>
      <c r="N44" s="79">
        <v>27.95454545454546</v>
      </c>
      <c r="O44" s="79">
        <v>30</v>
      </c>
      <c r="P44" s="145">
        <v>0.18</v>
      </c>
      <c r="Q44" s="132"/>
      <c r="R44" s="86"/>
      <c r="S44" s="71"/>
      <c r="T44" s="71"/>
      <c r="U44" s="71"/>
      <c r="V44" s="71"/>
      <c r="W44" s="133"/>
      <c r="X44" s="132"/>
      <c r="Y44" s="86"/>
      <c r="Z44" s="71"/>
      <c r="AA44" s="71"/>
      <c r="AB44" s="71"/>
      <c r="AC44" s="71"/>
      <c r="AD44" s="133"/>
      <c r="AE44"/>
    </row>
    <row r="45" spans="1:31" s="76" customFormat="1" ht="16.5" hidden="1" customHeight="1" thickTop="1" thickBot="1" x14ac:dyDescent="0.3">
      <c r="A45" s="34" t="s">
        <v>174</v>
      </c>
      <c r="B45" s="35"/>
      <c r="C45" s="35">
        <v>160</v>
      </c>
      <c r="D45" s="45" t="s">
        <v>175</v>
      </c>
      <c r="E45" s="57" t="s">
        <v>175</v>
      </c>
      <c r="F45" s="56" t="s">
        <v>176</v>
      </c>
      <c r="G45" s="79" t="s">
        <v>25</v>
      </c>
      <c r="H45" s="79">
        <v>16.32</v>
      </c>
      <c r="I45" s="79" t="s">
        <v>25</v>
      </c>
      <c r="J45" s="27">
        <v>46965</v>
      </c>
      <c r="K45" s="89">
        <v>16.32</v>
      </c>
      <c r="L45" s="79">
        <v>17.739130434782609</v>
      </c>
      <c r="M45" s="79">
        <v>18.133333333333333</v>
      </c>
      <c r="N45" s="79">
        <v>18.545454545454547</v>
      </c>
      <c r="O45" s="79">
        <v>19.2</v>
      </c>
      <c r="P45" s="145">
        <v>0.15</v>
      </c>
      <c r="Q45" s="132"/>
      <c r="R45" s="86"/>
      <c r="S45" s="71"/>
      <c r="T45" s="71"/>
      <c r="U45" s="71"/>
      <c r="V45" s="71"/>
      <c r="W45" s="133"/>
      <c r="X45" s="132"/>
      <c r="Y45" s="86"/>
      <c r="Z45" s="71"/>
      <c r="AA45" s="71"/>
      <c r="AB45" s="71"/>
      <c r="AC45" s="71"/>
      <c r="AD45" s="133"/>
      <c r="AE45"/>
    </row>
    <row r="46" spans="1:31" s="76" customFormat="1" ht="16.5" thickTop="1" thickBot="1" x14ac:dyDescent="0.3">
      <c r="A46" s="34" t="s">
        <v>177</v>
      </c>
      <c r="B46" s="35"/>
      <c r="C46" s="35">
        <v>100</v>
      </c>
      <c r="D46" s="45" t="s">
        <v>178</v>
      </c>
      <c r="E46" s="55" t="s">
        <v>179</v>
      </c>
      <c r="F46" s="56" t="s">
        <v>180</v>
      </c>
      <c r="G46" s="79">
        <v>15.559322033898306</v>
      </c>
      <c r="H46" s="79">
        <v>12.758644067796611</v>
      </c>
      <c r="I46" s="79">
        <v>2.2965559322033902</v>
      </c>
      <c r="J46" s="27">
        <v>46843</v>
      </c>
      <c r="K46" s="89">
        <v>15.055200000000001</v>
      </c>
      <c r="L46" s="79">
        <v>16.364347826086956</v>
      </c>
      <c r="M46" s="79">
        <v>16.728000000000002</v>
      </c>
      <c r="N46" s="79">
        <v>17.108181818181819</v>
      </c>
      <c r="O46" s="79">
        <v>18.36</v>
      </c>
      <c r="P46" s="145">
        <v>0.18</v>
      </c>
      <c r="Q46" s="132"/>
      <c r="R46" s="86"/>
      <c r="S46" s="71"/>
      <c r="T46" s="71"/>
      <c r="U46" s="71"/>
      <c r="V46" s="71"/>
      <c r="W46" s="133"/>
      <c r="X46" s="132"/>
      <c r="Y46" s="86"/>
      <c r="Z46" s="71"/>
      <c r="AA46" s="71"/>
      <c r="AB46" s="71"/>
      <c r="AC46" s="71"/>
      <c r="AD46" s="133"/>
      <c r="AE46"/>
    </row>
    <row r="47" spans="1:31" s="76" customFormat="1" ht="16.5" hidden="1" customHeight="1" thickTop="1" thickBot="1" x14ac:dyDescent="0.3">
      <c r="A47" s="34" t="s">
        <v>181</v>
      </c>
      <c r="B47" s="111"/>
      <c r="C47" s="35">
        <v>128</v>
      </c>
      <c r="D47" s="45" t="s">
        <v>182</v>
      </c>
      <c r="E47" s="55" t="s">
        <v>183</v>
      </c>
      <c r="F47" s="56" t="s">
        <v>106</v>
      </c>
      <c r="G47" s="79">
        <v>13.440677966101696</v>
      </c>
      <c r="H47" s="79">
        <v>11.021355932203392</v>
      </c>
      <c r="I47" s="79">
        <v>1.9838440677966105</v>
      </c>
      <c r="J47" s="27">
        <v>46691</v>
      </c>
      <c r="K47" s="89">
        <v>13.005200000000002</v>
      </c>
      <c r="L47" s="79">
        <v>14.450222222222225</v>
      </c>
      <c r="M47" s="79">
        <v>14.778636363636366</v>
      </c>
      <c r="N47" s="79">
        <v>15.860000000000001</v>
      </c>
      <c r="O47" s="79">
        <v>15.86</v>
      </c>
      <c r="P47" s="145">
        <v>0.18</v>
      </c>
      <c r="Q47" s="134"/>
      <c r="R47" s="112"/>
      <c r="S47" s="120"/>
      <c r="T47" s="120"/>
      <c r="U47" s="120"/>
      <c r="V47" s="120"/>
      <c r="W47" s="135"/>
      <c r="X47" s="134"/>
      <c r="Y47" s="112"/>
      <c r="Z47" s="120"/>
      <c r="AA47" s="120"/>
      <c r="AB47" s="120"/>
      <c r="AC47" s="120"/>
      <c r="AD47" s="135"/>
      <c r="AE47"/>
    </row>
    <row r="48" spans="1:31" s="76" customFormat="1" ht="16.5" hidden="1" customHeight="1" thickTop="1" thickBot="1" x14ac:dyDescent="0.3">
      <c r="A48" s="34" t="s">
        <v>184</v>
      </c>
      <c r="B48" s="111"/>
      <c r="C48" s="35">
        <v>18</v>
      </c>
      <c r="D48" s="45" t="s">
        <v>182</v>
      </c>
      <c r="E48" s="55" t="s">
        <v>183</v>
      </c>
      <c r="F48" s="56" t="s">
        <v>185</v>
      </c>
      <c r="G48" s="79">
        <v>71.186440677966104</v>
      </c>
      <c r="H48" s="79">
        <v>58.372881355932208</v>
      </c>
      <c r="I48" s="79">
        <v>10.507118644067797</v>
      </c>
      <c r="J48" s="27">
        <v>46507</v>
      </c>
      <c r="K48" s="89">
        <v>68.88000000000001</v>
      </c>
      <c r="L48" s="79">
        <v>76.533333333333346</v>
      </c>
      <c r="M48" s="79">
        <v>78.27272727272728</v>
      </c>
      <c r="N48" s="79">
        <v>84</v>
      </c>
      <c r="O48" s="79">
        <v>84</v>
      </c>
      <c r="P48" s="145">
        <v>0.18</v>
      </c>
      <c r="Q48" s="134"/>
      <c r="R48" s="112"/>
      <c r="S48" s="120"/>
      <c r="T48" s="120"/>
      <c r="U48" s="120"/>
      <c r="V48" s="120"/>
      <c r="W48" s="135"/>
      <c r="X48" s="134"/>
      <c r="Y48" s="112"/>
      <c r="Z48" s="120"/>
      <c r="AA48" s="120"/>
      <c r="AB48" s="120"/>
      <c r="AC48" s="120"/>
      <c r="AD48" s="135"/>
      <c r="AE48"/>
    </row>
    <row r="49" spans="1:31" s="76" customFormat="1" ht="16.5" hidden="1" customHeight="1" thickTop="1" thickBot="1" x14ac:dyDescent="0.3">
      <c r="A49" s="6" t="s">
        <v>186</v>
      </c>
      <c r="B49" s="7">
        <v>3</v>
      </c>
      <c r="C49" s="7">
        <v>12</v>
      </c>
      <c r="D49" s="46" t="s">
        <v>187</v>
      </c>
      <c r="E49" s="58" t="s">
        <v>188</v>
      </c>
      <c r="F49" s="59"/>
      <c r="G49" s="64">
        <v>32.203389830508478</v>
      </c>
      <c r="H49" s="64">
        <v>27.372881355932204</v>
      </c>
      <c r="I49" s="64">
        <v>4.9271186440677965</v>
      </c>
      <c r="J49" s="24">
        <v>47695</v>
      </c>
      <c r="K49" s="89">
        <v>32.299999999999997</v>
      </c>
      <c r="L49" s="64">
        <v>35.108695652173907</v>
      </c>
      <c r="M49" s="64">
        <v>35.888888888888886</v>
      </c>
      <c r="N49" s="64">
        <v>36.704545454545453</v>
      </c>
      <c r="O49" s="63">
        <v>38</v>
      </c>
      <c r="P49" s="146">
        <v>0.15</v>
      </c>
      <c r="Q49" s="136"/>
      <c r="R49" s="66"/>
      <c r="S49" s="66"/>
      <c r="T49" s="114">
        <v>1</v>
      </c>
      <c r="U49" s="115" t="s">
        <v>29</v>
      </c>
      <c r="V49" s="115">
        <v>1</v>
      </c>
      <c r="W49" s="147">
        <f t="shared" ref="W49:W53" si="1">(O49*T49)/(T49+V49)</f>
        <v>19</v>
      </c>
      <c r="X49" s="136"/>
      <c r="Y49" s="66"/>
      <c r="Z49" s="66"/>
      <c r="AA49" s="114">
        <v>10</v>
      </c>
      <c r="AB49" s="115" t="s">
        <v>29</v>
      </c>
      <c r="AC49" s="115">
        <v>10</v>
      </c>
      <c r="AD49" s="147">
        <f>(N49*AA49)/(AA49+AC49)</f>
        <v>18.352272727272727</v>
      </c>
      <c r="AE49"/>
    </row>
    <row r="50" spans="1:31" s="76" customFormat="1" ht="16.5" hidden="1" customHeight="1" thickTop="1" thickBot="1" x14ac:dyDescent="0.3">
      <c r="A50" s="6" t="s">
        <v>189</v>
      </c>
      <c r="B50" s="7">
        <v>3</v>
      </c>
      <c r="C50" s="7">
        <v>12</v>
      </c>
      <c r="D50" s="46" t="s">
        <v>187</v>
      </c>
      <c r="E50" s="58" t="s">
        <v>190</v>
      </c>
      <c r="F50" s="59"/>
      <c r="G50" s="64">
        <v>53.389830508474581</v>
      </c>
      <c r="H50" s="64">
        <v>45.381355932203391</v>
      </c>
      <c r="I50" s="64">
        <v>8.1686440677966097</v>
      </c>
      <c r="J50" s="24">
        <v>47695</v>
      </c>
      <c r="K50" s="89">
        <v>53.55</v>
      </c>
      <c r="L50" s="64">
        <v>58.20652173913043</v>
      </c>
      <c r="M50" s="64">
        <v>59.499999999999993</v>
      </c>
      <c r="N50" s="64">
        <v>60.852272727272727</v>
      </c>
      <c r="O50" s="63">
        <v>63</v>
      </c>
      <c r="P50" s="146">
        <v>0.15</v>
      </c>
      <c r="Q50" s="136"/>
      <c r="R50" s="66"/>
      <c r="S50" s="66"/>
      <c r="T50" s="114">
        <v>1</v>
      </c>
      <c r="U50" s="115" t="s">
        <v>29</v>
      </c>
      <c r="V50" s="115">
        <v>1</v>
      </c>
      <c r="W50" s="147">
        <f t="shared" si="1"/>
        <v>31.5</v>
      </c>
      <c r="X50" s="136"/>
      <c r="Y50" s="66"/>
      <c r="Z50" s="66"/>
      <c r="AA50" s="114">
        <v>10</v>
      </c>
      <c r="AB50" s="115" t="s">
        <v>29</v>
      </c>
      <c r="AC50" s="115">
        <v>10</v>
      </c>
      <c r="AD50" s="147">
        <f>(N50*AA50)/(AA50+AC50)</f>
        <v>30.426136363636363</v>
      </c>
      <c r="AE50"/>
    </row>
    <row r="51" spans="1:31" s="76" customFormat="1" ht="16.5" hidden="1" customHeight="1" thickTop="1" thickBot="1" x14ac:dyDescent="0.3">
      <c r="A51" s="6" t="s">
        <v>191</v>
      </c>
      <c r="B51" s="7">
        <v>3</v>
      </c>
      <c r="C51" s="7">
        <v>24</v>
      </c>
      <c r="D51" s="46" t="s">
        <v>187</v>
      </c>
      <c r="E51" s="58" t="s">
        <v>192</v>
      </c>
      <c r="F51" s="59"/>
      <c r="G51" s="64">
        <v>17.796610169491526</v>
      </c>
      <c r="H51" s="64">
        <v>15.127118644067796</v>
      </c>
      <c r="I51" s="64">
        <v>2.7228813559322029</v>
      </c>
      <c r="J51" s="24">
        <v>47695</v>
      </c>
      <c r="K51" s="89">
        <v>17.849999999999998</v>
      </c>
      <c r="L51" s="64">
        <v>19.402173913043477</v>
      </c>
      <c r="M51" s="64">
        <v>19.833333333333332</v>
      </c>
      <c r="N51" s="64">
        <v>20.284090909090907</v>
      </c>
      <c r="O51" s="63">
        <v>21</v>
      </c>
      <c r="P51" s="146">
        <v>0.15</v>
      </c>
      <c r="Q51" s="136"/>
      <c r="R51" s="66"/>
      <c r="S51" s="66"/>
      <c r="T51" s="114">
        <v>1</v>
      </c>
      <c r="U51" s="115" t="s">
        <v>29</v>
      </c>
      <c r="V51" s="115">
        <v>1</v>
      </c>
      <c r="W51" s="147">
        <f t="shared" si="1"/>
        <v>10.5</v>
      </c>
      <c r="X51" s="136"/>
      <c r="Y51" s="66"/>
      <c r="Z51" s="66"/>
      <c r="AA51" s="114">
        <v>10</v>
      </c>
      <c r="AB51" s="115" t="s">
        <v>29</v>
      </c>
      <c r="AC51" s="115">
        <v>10</v>
      </c>
      <c r="AD51" s="147">
        <f>(N51*AA51)/(AA51+AC51)</f>
        <v>10.142045454545453</v>
      </c>
      <c r="AE51"/>
    </row>
    <row r="52" spans="1:31" s="76" customFormat="1" ht="27" hidden="1" customHeight="1" thickTop="1" thickBot="1" x14ac:dyDescent="0.3">
      <c r="A52" s="6" t="s">
        <v>193</v>
      </c>
      <c r="B52" s="7"/>
      <c r="C52" s="7">
        <v>120</v>
      </c>
      <c r="D52" s="46" t="s">
        <v>194</v>
      </c>
      <c r="E52" s="60" t="s">
        <v>195</v>
      </c>
      <c r="F52" s="59" t="s">
        <v>196</v>
      </c>
      <c r="G52" s="64">
        <v>2.5423728813559325</v>
      </c>
      <c r="H52" s="64">
        <v>2.1610169491525424</v>
      </c>
      <c r="I52" s="64">
        <v>0.3889830508474576</v>
      </c>
      <c r="J52" s="24">
        <v>46425.208333333336</v>
      </c>
      <c r="K52" s="89">
        <v>2.5499999999999998</v>
      </c>
      <c r="L52" s="64">
        <v>2.7717391304347823</v>
      </c>
      <c r="M52" s="64">
        <v>2.833333333333333</v>
      </c>
      <c r="N52" s="64">
        <v>2.8977272727272725</v>
      </c>
      <c r="O52" s="63">
        <v>3</v>
      </c>
      <c r="P52" s="146">
        <v>0.15</v>
      </c>
      <c r="Q52" s="136"/>
      <c r="R52" s="66"/>
      <c r="S52" s="66"/>
      <c r="T52" s="114">
        <v>6</v>
      </c>
      <c r="U52" s="115" t="s">
        <v>29</v>
      </c>
      <c r="V52" s="115">
        <v>1</v>
      </c>
      <c r="W52" s="147">
        <f t="shared" si="1"/>
        <v>2.5714285714285716</v>
      </c>
      <c r="X52" s="136"/>
      <c r="Y52" s="66"/>
      <c r="Z52" s="66"/>
      <c r="AA52" s="114">
        <v>24</v>
      </c>
      <c r="AB52" s="115" t="s">
        <v>29</v>
      </c>
      <c r="AC52" s="115">
        <v>4</v>
      </c>
      <c r="AD52" s="147">
        <f>(N52*AA52)/(AA52+AC52)</f>
        <v>2.4837662337662332</v>
      </c>
      <c r="AE52"/>
    </row>
    <row r="53" spans="1:31" s="76" customFormat="1" ht="39.75" hidden="1" customHeight="1" thickTop="1" thickBot="1" x14ac:dyDescent="0.3">
      <c r="A53" s="6" t="s">
        <v>197</v>
      </c>
      <c r="B53" s="7"/>
      <c r="C53" s="7">
        <v>144</v>
      </c>
      <c r="D53" s="47" t="s">
        <v>194</v>
      </c>
      <c r="E53" s="61" t="s">
        <v>198</v>
      </c>
      <c r="F53" s="62" t="s">
        <v>196</v>
      </c>
      <c r="G53" s="64">
        <v>2.9661016949152543</v>
      </c>
      <c r="H53" s="64">
        <v>2.5211864406779663</v>
      </c>
      <c r="I53" s="64">
        <v>0.45381355932203393</v>
      </c>
      <c r="J53" s="24">
        <v>46484.208333333336</v>
      </c>
      <c r="K53" s="89">
        <v>2.9750000000000001</v>
      </c>
      <c r="L53" s="64">
        <v>3.2336956521739131</v>
      </c>
      <c r="M53" s="64">
        <v>3.3055555555555554</v>
      </c>
      <c r="N53" s="64">
        <v>3.3806818181818183</v>
      </c>
      <c r="O53" s="65">
        <v>3.5</v>
      </c>
      <c r="P53" s="146">
        <v>0.15</v>
      </c>
      <c r="Q53" s="136"/>
      <c r="R53" s="66"/>
      <c r="S53" s="66"/>
      <c r="T53" s="114">
        <v>6</v>
      </c>
      <c r="U53" s="115" t="s">
        <v>29</v>
      </c>
      <c r="V53" s="115">
        <v>1</v>
      </c>
      <c r="W53" s="147">
        <f t="shared" si="1"/>
        <v>3</v>
      </c>
      <c r="X53" s="136"/>
      <c r="Y53" s="66"/>
      <c r="Z53" s="66"/>
      <c r="AA53" s="114">
        <v>24</v>
      </c>
      <c r="AB53" s="115" t="s">
        <v>29</v>
      </c>
      <c r="AC53" s="115">
        <v>4</v>
      </c>
      <c r="AD53" s="147">
        <f>(N53*AA53)/(AA53+AC53)</f>
        <v>2.8977272727272729</v>
      </c>
      <c r="AE53"/>
    </row>
    <row r="54" spans="1:31" s="76" customFormat="1" ht="39.75" thickTop="1" thickBot="1" x14ac:dyDescent="0.3">
      <c r="A54" s="6" t="s">
        <v>199</v>
      </c>
      <c r="B54" s="7">
        <v>3</v>
      </c>
      <c r="C54" s="7">
        <v>60</v>
      </c>
      <c r="D54" s="47" t="s">
        <v>194</v>
      </c>
      <c r="E54" s="61" t="s">
        <v>198</v>
      </c>
      <c r="F54" s="62" t="s">
        <v>200</v>
      </c>
      <c r="G54" s="64">
        <v>6.7796610169491531</v>
      </c>
      <c r="H54" s="64">
        <v>5.7627118644067803</v>
      </c>
      <c r="I54" s="64">
        <v>1.0372881355932204</v>
      </c>
      <c r="J54" s="26">
        <v>46514.208333333336</v>
      </c>
      <c r="K54" s="89">
        <v>6.8000000000000007</v>
      </c>
      <c r="L54" s="64">
        <v>7.3913043478260878</v>
      </c>
      <c r="M54" s="64">
        <v>7.5555555555555562</v>
      </c>
      <c r="N54" s="64">
        <v>7.7272727272727284</v>
      </c>
      <c r="O54" s="65">
        <v>8</v>
      </c>
      <c r="P54" s="146">
        <v>0.15</v>
      </c>
      <c r="Q54" s="127" t="s">
        <v>50</v>
      </c>
      <c r="R54" s="116">
        <v>0.27</v>
      </c>
      <c r="S54" s="117">
        <f>O54*(100%-R54)</f>
        <v>5.84</v>
      </c>
      <c r="T54" s="137"/>
      <c r="U54" s="137"/>
      <c r="V54" s="137"/>
      <c r="W54" s="137"/>
      <c r="X54" s="137"/>
      <c r="Y54" s="138"/>
      <c r="Z54" s="138"/>
      <c r="AA54" s="137"/>
      <c r="AB54" s="137"/>
      <c r="AC54" s="137"/>
      <c r="AD54" s="137"/>
      <c r="AE54"/>
    </row>
    <row r="55" spans="1:31" ht="15.75" thickTop="1" x14ac:dyDescent="0.25">
      <c r="A55" s="1"/>
      <c r="C55" s="87"/>
      <c r="D55" s="87"/>
      <c r="E55" s="87"/>
      <c r="F55" s="87"/>
      <c r="G55" s="87"/>
      <c r="H55" s="87"/>
      <c r="I55" s="87"/>
      <c r="J55" s="87"/>
      <c r="K55" s="1"/>
      <c r="L55" s="1"/>
      <c r="M55" s="1"/>
      <c r="N55" s="1"/>
      <c r="O55" s="1"/>
      <c r="P55" s="1"/>
    </row>
    <row r="56" spans="1:31" x14ac:dyDescent="0.25">
      <c r="A56" s="1"/>
      <c r="B56" s="36" t="s">
        <v>201</v>
      </c>
      <c r="C56" s="1"/>
      <c r="D56" s="37"/>
      <c r="E56" s="41"/>
      <c r="F56" s="41"/>
      <c r="G56" s="37"/>
      <c r="H56" s="41"/>
      <c r="I56" s="37"/>
      <c r="J56" s="37"/>
      <c r="K56" s="37"/>
      <c r="L56" s="41"/>
      <c r="M56" s="41"/>
      <c r="N56" s="41"/>
      <c r="O56" s="37"/>
      <c r="P56" s="37"/>
    </row>
    <row r="57" spans="1:31" ht="21.75" x14ac:dyDescent="0.4">
      <c r="A57" s="1"/>
      <c r="B57" s="37" t="s">
        <v>202</v>
      </c>
      <c r="C57" s="1"/>
      <c r="E57" s="1"/>
      <c r="F57" s="1"/>
      <c r="G57" s="1"/>
      <c r="H57" s="1"/>
      <c r="I57" s="1"/>
      <c r="J57" s="1"/>
      <c r="K57" s="1"/>
      <c r="L57" s="8"/>
      <c r="M57" s="8"/>
      <c r="N57" s="1"/>
      <c r="O57" s="1"/>
      <c r="P57" s="80"/>
    </row>
    <row r="58" spans="1:31" x14ac:dyDescent="0.25">
      <c r="B58" s="37" t="s">
        <v>203</v>
      </c>
      <c r="J58" s="25"/>
      <c r="K58" s="25"/>
    </row>
    <row r="59" spans="1:31" x14ac:dyDescent="0.25">
      <c r="B59" s="37" t="s">
        <v>204</v>
      </c>
      <c r="J59" s="25"/>
      <c r="K59" s="25"/>
    </row>
    <row r="60" spans="1:31" x14ac:dyDescent="0.25">
      <c r="B60" s="37" t="s">
        <v>205</v>
      </c>
    </row>
    <row r="61" spans="1:31" x14ac:dyDescent="0.25">
      <c r="B61" s="37" t="s">
        <v>206</v>
      </c>
    </row>
    <row r="62" spans="1:31" x14ac:dyDescent="0.25">
      <c r="B62" s="37" t="s">
        <v>207</v>
      </c>
    </row>
    <row r="63" spans="1:31" x14ac:dyDescent="0.25">
      <c r="B63" s="37" t="s">
        <v>208</v>
      </c>
    </row>
    <row r="64" spans="1:31" x14ac:dyDescent="0.25">
      <c r="B64" s="37" t="s">
        <v>209</v>
      </c>
    </row>
    <row r="65" spans="2:2" x14ac:dyDescent="0.25">
      <c r="B65" s="37" t="s">
        <v>210</v>
      </c>
    </row>
    <row r="66" spans="2:2" x14ac:dyDescent="0.25">
      <c r="B66" s="37" t="s">
        <v>211</v>
      </c>
    </row>
  </sheetData>
  <autoFilter ref="A1:Z54" xr:uid="{E6387DE4-E434-483F-9FE7-948FF95B0CC3}"/>
  <mergeCells count="2">
    <mergeCell ref="T1:V1"/>
    <mergeCell ref="AA1:AC1"/>
  </mergeCells>
  <conditionalFormatting sqref="D57 P57">
    <cfRule type="containsText" dxfId="7" priority="47" operator="containsText" text="INACTIVO">
      <formula>NOT(ISERROR(SEARCH("INACTIVO",D57)))</formula>
    </cfRule>
    <cfRule type="containsText" dxfId="6" priority="48" operator="containsText" text="NORMAL">
      <formula>NOT(ISERROR(SEARCH("NORMAL",D57)))</formula>
    </cfRule>
    <cfRule type="containsText" dxfId="5" priority="49" operator="containsText" text="ALTA">
      <formula>NOT(ISERROR(SEARCH("ALTA",D57)))</formula>
    </cfRule>
    <cfRule type="containsText" dxfId="4" priority="53" operator="containsText" text="CRÍTICO">
      <formula>NOT(ISERROR(SEARCH("CRÍTICO",D57)))</formula>
    </cfRule>
  </conditionalFormatting>
  <conditionalFormatting sqref="Q1:T1 W1:AA1 AD1">
    <cfRule type="containsText" dxfId="3" priority="1" operator="containsText" text="INACTIVO">
      <formula>NOT(ISERROR(SEARCH("INACTIVO",Q1)))</formula>
    </cfRule>
    <cfRule type="containsText" dxfId="2" priority="2" operator="containsText" text="NORMAL">
      <formula>NOT(ISERROR(SEARCH("NORMAL",Q1)))</formula>
    </cfRule>
    <cfRule type="containsText" dxfId="1" priority="3" operator="containsText" text="ALTA">
      <formula>NOT(ISERROR(SEARCH("ALTA",Q1)))</formula>
    </cfRule>
    <cfRule type="containsText" dxfId="0" priority="4" operator="containsText" text="CRÍTICO">
      <formula>NOT(ISERROR(SEARCH("CRÍTICO",Q1)))</formula>
    </cfRule>
  </conditionalFormatting>
  <pageMargins left="0.25" right="0.25" top="0.75" bottom="0.75" header="0.3" footer="0.3"/>
  <pageSetup paperSize="9" scale="5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BB72-C0A5-B94E-8333-6E04FC9AD5CA}">
  <dimension ref="A1:L77"/>
  <sheetViews>
    <sheetView workbookViewId="0">
      <selection activeCell="B7" sqref="B7"/>
    </sheetView>
  </sheetViews>
  <sheetFormatPr baseColWidth="10" defaultColWidth="11.42578125" defaultRowHeight="15" x14ac:dyDescent="0.25"/>
  <sheetData>
    <row r="1" spans="1:12" x14ac:dyDescent="0.25">
      <c r="A1" t="s">
        <v>212</v>
      </c>
      <c r="B1" t="s">
        <v>2</v>
      </c>
      <c r="C1" t="s">
        <v>3</v>
      </c>
      <c r="D1" t="s">
        <v>4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</row>
    <row r="2" spans="1:12" x14ac:dyDescent="0.25">
      <c r="A2" t="s">
        <v>94</v>
      </c>
      <c r="B2">
        <v>168</v>
      </c>
      <c r="C2" t="s">
        <v>95</v>
      </c>
      <c r="D2" t="s">
        <v>96</v>
      </c>
      <c r="E2" t="s">
        <v>221</v>
      </c>
      <c r="F2">
        <v>34.110169491525426</v>
      </c>
      <c r="G2">
        <v>27.97</v>
      </c>
      <c r="H2">
        <v>5.0345999999999993</v>
      </c>
      <c r="I2">
        <v>33.004599999999996</v>
      </c>
      <c r="J2">
        <v>35.643999999999998</v>
      </c>
      <c r="K2">
        <v>37.503999999999998</v>
      </c>
      <c r="L2">
        <v>40.25</v>
      </c>
    </row>
    <row r="3" spans="1:12" x14ac:dyDescent="0.25">
      <c r="A3" t="s">
        <v>222</v>
      </c>
      <c r="B3">
        <v>50</v>
      </c>
      <c r="C3" t="s">
        <v>223</v>
      </c>
      <c r="D3" t="s">
        <v>224</v>
      </c>
      <c r="E3" t="s">
        <v>225</v>
      </c>
      <c r="F3">
        <v>9.7711864406779654</v>
      </c>
      <c r="G3">
        <v>8.0123728813559314</v>
      </c>
      <c r="H3">
        <v>1.4422271186440676</v>
      </c>
      <c r="I3">
        <v>9.4545999999999992</v>
      </c>
      <c r="J3">
        <v>10.211</v>
      </c>
      <c r="K3">
        <v>10.743863636363635</v>
      </c>
      <c r="L3">
        <v>11.53</v>
      </c>
    </row>
    <row r="4" spans="1:12" x14ac:dyDescent="0.25">
      <c r="A4" t="s">
        <v>226</v>
      </c>
      <c r="B4">
        <v>50</v>
      </c>
      <c r="C4" t="s">
        <v>227</v>
      </c>
      <c r="D4" t="s">
        <v>224</v>
      </c>
      <c r="E4" t="s">
        <v>228</v>
      </c>
      <c r="F4">
        <v>12.101694915254239</v>
      </c>
      <c r="G4">
        <v>9.9233898305084765</v>
      </c>
      <c r="H4">
        <v>1.7862101694915258</v>
      </c>
      <c r="I4">
        <v>11.709600000000002</v>
      </c>
      <c r="J4">
        <v>12.727826086956522</v>
      </c>
      <c r="K4">
        <v>13.306363636363638</v>
      </c>
      <c r="L4">
        <v>14.280000000000001</v>
      </c>
    </row>
    <row r="5" spans="1:12" x14ac:dyDescent="0.25">
      <c r="A5" t="s">
        <v>229</v>
      </c>
      <c r="B5">
        <v>75</v>
      </c>
      <c r="C5" t="s">
        <v>230</v>
      </c>
      <c r="D5" t="s">
        <v>231</v>
      </c>
      <c r="E5" t="s">
        <v>232</v>
      </c>
      <c r="F5">
        <v>45.813559322033903</v>
      </c>
      <c r="G5">
        <v>37.567118644067804</v>
      </c>
      <c r="H5">
        <v>6.7620813559322048</v>
      </c>
      <c r="I5">
        <v>44.329200000000007</v>
      </c>
      <c r="J5">
        <v>48.183913043478263</v>
      </c>
      <c r="K5">
        <v>50.374090909090917</v>
      </c>
      <c r="L5">
        <v>54.06</v>
      </c>
    </row>
    <row r="6" spans="1:12" x14ac:dyDescent="0.25">
      <c r="A6" t="s">
        <v>107</v>
      </c>
      <c r="B6">
        <v>258</v>
      </c>
      <c r="C6" t="s">
        <v>108</v>
      </c>
      <c r="D6" t="s">
        <v>109</v>
      </c>
      <c r="E6" t="s">
        <v>233</v>
      </c>
      <c r="F6">
        <v>4.7805084745762718</v>
      </c>
      <c r="G6">
        <v>3.92</v>
      </c>
      <c r="H6">
        <v>0.7056</v>
      </c>
      <c r="I6">
        <v>4.6256000000000004</v>
      </c>
      <c r="J6">
        <v>5.0279999999999996</v>
      </c>
      <c r="K6">
        <v>5.2565</v>
      </c>
      <c r="L6">
        <v>5.641</v>
      </c>
    </row>
    <row r="7" spans="1:12" x14ac:dyDescent="0.25">
      <c r="A7" t="s">
        <v>234</v>
      </c>
      <c r="B7">
        <v>462</v>
      </c>
      <c r="C7" t="s">
        <v>235</v>
      </c>
      <c r="D7" t="s">
        <v>236</v>
      </c>
      <c r="E7" t="s">
        <v>237</v>
      </c>
      <c r="F7">
        <v>19.016949152542374</v>
      </c>
      <c r="G7">
        <v>15.593898305084748</v>
      </c>
      <c r="H7">
        <v>2.8069016949152545</v>
      </c>
      <c r="I7">
        <v>18.400800000000004</v>
      </c>
      <c r="J7">
        <v>20.000869565217396</v>
      </c>
      <c r="K7">
        <v>20.910000000000004</v>
      </c>
      <c r="L7">
        <v>22.44</v>
      </c>
    </row>
    <row r="8" spans="1:12" x14ac:dyDescent="0.25">
      <c r="A8" t="s">
        <v>238</v>
      </c>
      <c r="B8">
        <v>258</v>
      </c>
      <c r="C8" t="s">
        <v>239</v>
      </c>
      <c r="D8" t="s">
        <v>92</v>
      </c>
      <c r="E8" t="s">
        <v>240</v>
      </c>
      <c r="F8">
        <v>2.073220338983051</v>
      </c>
      <c r="G8">
        <v>1.7</v>
      </c>
      <c r="H8">
        <v>0.30599999999999999</v>
      </c>
      <c r="I8">
        <v>2.0059999999999998</v>
      </c>
      <c r="J8">
        <v>2.1804347826086952</v>
      </c>
      <c r="K8">
        <v>2.2795000000000001</v>
      </c>
      <c r="L8">
        <v>2.4464000000000001</v>
      </c>
    </row>
    <row r="9" spans="1:12" x14ac:dyDescent="0.25">
      <c r="A9" t="s">
        <v>241</v>
      </c>
      <c r="B9">
        <v>258</v>
      </c>
      <c r="C9" t="s">
        <v>242</v>
      </c>
      <c r="D9" t="s">
        <v>151</v>
      </c>
      <c r="E9" t="s">
        <v>243</v>
      </c>
      <c r="F9">
        <v>3.3898305084745766</v>
      </c>
      <c r="G9">
        <v>2.7796610169491531</v>
      </c>
      <c r="H9">
        <v>0.50033898305084756</v>
      </c>
      <c r="I9">
        <v>3.2800000000000007</v>
      </c>
      <c r="J9">
        <v>3.5653999999999999</v>
      </c>
      <c r="K9">
        <v>3.7273999999999998</v>
      </c>
      <c r="L9">
        <v>4</v>
      </c>
    </row>
    <row r="10" spans="1:12" x14ac:dyDescent="0.25">
      <c r="A10" t="s">
        <v>90</v>
      </c>
      <c r="B10">
        <v>258</v>
      </c>
      <c r="C10" t="s">
        <v>91</v>
      </c>
      <c r="D10" t="s">
        <v>92</v>
      </c>
      <c r="E10" t="s">
        <v>244</v>
      </c>
      <c r="F10">
        <v>1.7560169491525424</v>
      </c>
      <c r="G10">
        <v>1.44</v>
      </c>
      <c r="H10">
        <v>0.25919999999999999</v>
      </c>
      <c r="I10">
        <v>1.6991999999999998</v>
      </c>
      <c r="J10">
        <v>1.8469565217391302</v>
      </c>
      <c r="K10">
        <v>1.931</v>
      </c>
      <c r="L10">
        <v>2.0720999999999998</v>
      </c>
    </row>
    <row r="11" spans="1:12" x14ac:dyDescent="0.25">
      <c r="A11" t="s">
        <v>125</v>
      </c>
      <c r="B11">
        <v>258</v>
      </c>
      <c r="C11" t="s">
        <v>126</v>
      </c>
      <c r="D11" t="s">
        <v>127</v>
      </c>
      <c r="E11" t="s">
        <v>245</v>
      </c>
      <c r="F11">
        <v>4.2372881355932206</v>
      </c>
      <c r="G11">
        <v>3.4745762711864412</v>
      </c>
      <c r="H11">
        <v>0.62542372881355934</v>
      </c>
      <c r="I11">
        <v>4.1000000000000005</v>
      </c>
      <c r="J11">
        <v>4.4565000000000001</v>
      </c>
      <c r="K11">
        <v>4.6589999999999998</v>
      </c>
      <c r="L11">
        <v>5</v>
      </c>
    </row>
    <row r="12" spans="1:12" x14ac:dyDescent="0.25">
      <c r="A12" t="s">
        <v>246</v>
      </c>
      <c r="B12">
        <v>320</v>
      </c>
      <c r="C12" t="s">
        <v>247</v>
      </c>
      <c r="D12" t="s">
        <v>248</v>
      </c>
      <c r="E12" t="s">
        <v>249</v>
      </c>
      <c r="F12">
        <v>9.07627118644068</v>
      </c>
      <c r="G12">
        <v>7.4425423728813582</v>
      </c>
      <c r="H12">
        <v>1.3396576271186444</v>
      </c>
      <c r="I12">
        <v>8.7822000000000031</v>
      </c>
      <c r="J12">
        <v>9.5458695652173944</v>
      </c>
      <c r="K12">
        <v>9.9797727272727315</v>
      </c>
      <c r="L12">
        <v>10.71</v>
      </c>
    </row>
    <row r="13" spans="1:12" x14ac:dyDescent="0.25">
      <c r="A13" t="s">
        <v>250</v>
      </c>
      <c r="B13">
        <v>150</v>
      </c>
      <c r="C13" t="s">
        <v>251</v>
      </c>
      <c r="D13" t="s">
        <v>252</v>
      </c>
      <c r="E13" t="s">
        <v>253</v>
      </c>
      <c r="F13">
        <v>43.220338983050851</v>
      </c>
      <c r="G13">
        <v>35.440677966101703</v>
      </c>
      <c r="H13">
        <v>6.3793220338983065</v>
      </c>
      <c r="I13">
        <v>41.820000000000007</v>
      </c>
      <c r="J13">
        <v>45.456521739130444</v>
      </c>
      <c r="K13">
        <v>47.52272727272728</v>
      </c>
      <c r="L13">
        <v>51</v>
      </c>
    </row>
    <row r="14" spans="1:12" x14ac:dyDescent="0.25">
      <c r="A14" t="s">
        <v>254</v>
      </c>
      <c r="B14">
        <v>400</v>
      </c>
      <c r="C14" t="s">
        <v>255</v>
      </c>
      <c r="D14" t="s">
        <v>256</v>
      </c>
      <c r="E14" t="s">
        <v>257</v>
      </c>
      <c r="F14">
        <v>25.423728813559322</v>
      </c>
      <c r="G14">
        <v>20.847457627118647</v>
      </c>
      <c r="H14">
        <v>3.7525423728813565</v>
      </c>
      <c r="I14">
        <v>24.600000000000005</v>
      </c>
      <c r="J14">
        <v>26.74</v>
      </c>
      <c r="K14">
        <v>27.954000000000001</v>
      </c>
      <c r="L14">
        <v>30</v>
      </c>
    </row>
    <row r="15" spans="1:12" x14ac:dyDescent="0.25">
      <c r="A15" t="s">
        <v>86</v>
      </c>
      <c r="B15">
        <v>258</v>
      </c>
      <c r="C15" t="s">
        <v>87</v>
      </c>
      <c r="D15" t="s">
        <v>88</v>
      </c>
      <c r="E15" t="s">
        <v>258</v>
      </c>
      <c r="F15">
        <v>2.7118644067796613</v>
      </c>
      <c r="G15">
        <v>2.2237288135593225</v>
      </c>
      <c r="H15">
        <v>0.40027118644067805</v>
      </c>
      <c r="I15">
        <v>2.6240000000000006</v>
      </c>
      <c r="J15">
        <v>2.8521739130434787</v>
      </c>
      <c r="K15">
        <v>2.9817</v>
      </c>
      <c r="L15">
        <v>3.2</v>
      </c>
    </row>
    <row r="16" spans="1:12" x14ac:dyDescent="0.25">
      <c r="A16" t="s">
        <v>259</v>
      </c>
      <c r="B16">
        <v>95</v>
      </c>
      <c r="C16" t="s">
        <v>260</v>
      </c>
      <c r="D16" t="s">
        <v>261</v>
      </c>
      <c r="E16" t="s">
        <v>262</v>
      </c>
      <c r="F16">
        <v>46.610169491525426</v>
      </c>
      <c r="G16">
        <v>38.22</v>
      </c>
      <c r="H16">
        <v>6.8795999999999999</v>
      </c>
      <c r="I16">
        <v>45.099599999999995</v>
      </c>
      <c r="J16">
        <v>49.021304347826081</v>
      </c>
      <c r="K16">
        <v>51.249545454545448</v>
      </c>
      <c r="L16">
        <v>55</v>
      </c>
    </row>
    <row r="17" spans="1:12" x14ac:dyDescent="0.25">
      <c r="A17" t="s">
        <v>263</v>
      </c>
      <c r="B17">
        <v>258</v>
      </c>
      <c r="C17" t="s">
        <v>104</v>
      </c>
      <c r="D17" t="s">
        <v>105</v>
      </c>
      <c r="E17" t="s">
        <v>264</v>
      </c>
      <c r="F17">
        <v>2.7118644067796613</v>
      </c>
      <c r="G17">
        <v>2.2237288135593225</v>
      </c>
      <c r="H17">
        <v>0.40027118644067805</v>
      </c>
      <c r="I17">
        <v>2.6240000000000006</v>
      </c>
      <c r="J17">
        <v>2.8523000000000001</v>
      </c>
      <c r="K17">
        <v>2.9817</v>
      </c>
      <c r="L17">
        <v>3.2</v>
      </c>
    </row>
    <row r="18" spans="1:12" x14ac:dyDescent="0.25">
      <c r="A18" t="s">
        <v>101</v>
      </c>
      <c r="B18">
        <v>258</v>
      </c>
      <c r="C18" t="s">
        <v>99</v>
      </c>
      <c r="D18" t="s">
        <v>44</v>
      </c>
      <c r="E18" t="s">
        <v>265</v>
      </c>
      <c r="F18">
        <v>1.728813559322034</v>
      </c>
      <c r="G18">
        <v>1.4176271186440679</v>
      </c>
      <c r="H18">
        <v>0.25517288135593219</v>
      </c>
      <c r="I18">
        <v>1.6728000000000001</v>
      </c>
      <c r="J18">
        <v>1.8183</v>
      </c>
      <c r="K18">
        <v>1.901</v>
      </c>
      <c r="L18">
        <v>2.04</v>
      </c>
    </row>
    <row r="19" spans="1:12" x14ac:dyDescent="0.25">
      <c r="A19" t="s">
        <v>103</v>
      </c>
      <c r="B19">
        <v>128</v>
      </c>
      <c r="C19" t="s">
        <v>104</v>
      </c>
      <c r="D19" t="s">
        <v>105</v>
      </c>
      <c r="E19" t="s">
        <v>266</v>
      </c>
      <c r="F19">
        <v>32.951694915254244</v>
      </c>
      <c r="G19">
        <v>27.02</v>
      </c>
      <c r="H19">
        <v>4.8635999999999999</v>
      </c>
      <c r="I19">
        <v>31.883600000000001</v>
      </c>
      <c r="J19">
        <v>34.655000000000001</v>
      </c>
      <c r="K19">
        <v>36.229999999999997</v>
      </c>
      <c r="L19">
        <v>38.883000000000003</v>
      </c>
    </row>
    <row r="20" spans="1:12" x14ac:dyDescent="0.25">
      <c r="A20" t="s">
        <v>267</v>
      </c>
      <c r="B20">
        <v>60</v>
      </c>
      <c r="C20" t="s">
        <v>268</v>
      </c>
      <c r="D20" t="s">
        <v>269</v>
      </c>
      <c r="E20" t="s">
        <v>270</v>
      </c>
      <c r="F20">
        <v>21.005084745762716</v>
      </c>
      <c r="G20">
        <v>17.224169491525426</v>
      </c>
      <c r="H20">
        <v>3.1003505084745768</v>
      </c>
      <c r="I20">
        <v>20.324520000000003</v>
      </c>
      <c r="J20">
        <v>22.091869565217394</v>
      </c>
      <c r="K20">
        <v>23.096045454545457</v>
      </c>
      <c r="L20">
        <v>24.786000000000001</v>
      </c>
    </row>
    <row r="21" spans="1:12" x14ac:dyDescent="0.25">
      <c r="A21" t="s">
        <v>129</v>
      </c>
      <c r="B21">
        <v>60</v>
      </c>
      <c r="C21" t="s">
        <v>130</v>
      </c>
      <c r="D21" t="s">
        <v>271</v>
      </c>
      <c r="E21" t="s">
        <v>272</v>
      </c>
      <c r="F21">
        <v>25.672881355932205</v>
      </c>
      <c r="G21">
        <v>21.051762711864409</v>
      </c>
      <c r="H21">
        <v>3.7893172881355937</v>
      </c>
      <c r="I21">
        <v>24.841080000000002</v>
      </c>
      <c r="J21">
        <v>27.00117391304348</v>
      </c>
      <c r="K21">
        <v>28.2285</v>
      </c>
      <c r="L21">
        <v>30.294</v>
      </c>
    </row>
    <row r="22" spans="1:12" x14ac:dyDescent="0.25">
      <c r="A22" t="s">
        <v>133</v>
      </c>
      <c r="B22">
        <v>60</v>
      </c>
      <c r="C22" t="s">
        <v>134</v>
      </c>
      <c r="D22" t="s">
        <v>273</v>
      </c>
      <c r="E22" t="s">
        <v>274</v>
      </c>
      <c r="F22">
        <v>28.262711864406782</v>
      </c>
      <c r="G22">
        <v>23.175423728813563</v>
      </c>
      <c r="H22">
        <v>4.1715762711864413</v>
      </c>
      <c r="I22">
        <v>27.347000000000005</v>
      </c>
      <c r="J22">
        <v>29.725000000000005</v>
      </c>
      <c r="K22">
        <v>31.076136363636369</v>
      </c>
      <c r="L22">
        <v>33.35</v>
      </c>
    </row>
    <row r="23" spans="1:12" x14ac:dyDescent="0.25">
      <c r="A23" t="s">
        <v>275</v>
      </c>
      <c r="B23">
        <v>500</v>
      </c>
      <c r="C23" t="s">
        <v>276</v>
      </c>
      <c r="D23" t="s">
        <v>277</v>
      </c>
      <c r="E23" t="s">
        <v>278</v>
      </c>
      <c r="F23">
        <v>2.1186440677966103</v>
      </c>
      <c r="G23">
        <v>1.7372881355932206</v>
      </c>
      <c r="H23">
        <v>0.31271186440677967</v>
      </c>
      <c r="I23">
        <v>2.0500000000000003</v>
      </c>
      <c r="J23">
        <v>2.2282999999999999</v>
      </c>
      <c r="K23">
        <v>2.3294999999999999</v>
      </c>
      <c r="L23">
        <v>2.5</v>
      </c>
    </row>
    <row r="24" spans="1:12" x14ac:dyDescent="0.25">
      <c r="A24" t="s">
        <v>115</v>
      </c>
      <c r="B24">
        <v>80</v>
      </c>
      <c r="C24" t="s">
        <v>116</v>
      </c>
      <c r="D24" t="s">
        <v>117</v>
      </c>
      <c r="E24" t="s">
        <v>279</v>
      </c>
      <c r="F24">
        <v>21.186440677966104</v>
      </c>
      <c r="G24">
        <v>17.372881355932208</v>
      </c>
      <c r="H24">
        <v>3.1271186440677972</v>
      </c>
      <c r="I24">
        <v>20.500000000000004</v>
      </c>
      <c r="J24">
        <v>22.282</v>
      </c>
      <c r="K24">
        <v>23.295999999999999</v>
      </c>
      <c r="L24">
        <v>25</v>
      </c>
    </row>
    <row r="25" spans="1:12" x14ac:dyDescent="0.25">
      <c r="A25" t="s">
        <v>111</v>
      </c>
      <c r="C25" t="s">
        <v>280</v>
      </c>
      <c r="D25" t="s">
        <v>113</v>
      </c>
      <c r="E25" t="s">
        <v>281</v>
      </c>
      <c r="F25">
        <v>4.2440677966101701</v>
      </c>
      <c r="G25">
        <v>3.48</v>
      </c>
      <c r="H25">
        <v>0.62639999999999996</v>
      </c>
      <c r="I25">
        <v>4.1063999999999998</v>
      </c>
      <c r="J25">
        <v>4.4634</v>
      </c>
      <c r="K25">
        <v>4.6661999999999999</v>
      </c>
      <c r="L25">
        <v>5.008</v>
      </c>
    </row>
    <row r="26" spans="1:12" x14ac:dyDescent="0.25">
      <c r="A26" t="s">
        <v>136</v>
      </c>
      <c r="B26">
        <v>50</v>
      </c>
      <c r="C26" t="s">
        <v>282</v>
      </c>
      <c r="D26" t="s">
        <v>283</v>
      </c>
      <c r="E26" t="s">
        <v>279</v>
      </c>
      <c r="F26">
        <v>203.38983050847457</v>
      </c>
      <c r="G26">
        <v>166.77966101694918</v>
      </c>
      <c r="H26">
        <v>30.020338983050852</v>
      </c>
      <c r="I26">
        <v>196.80000000000004</v>
      </c>
      <c r="J26">
        <v>213.92</v>
      </c>
      <c r="K26">
        <v>223.64</v>
      </c>
      <c r="L26">
        <v>240</v>
      </c>
    </row>
    <row r="27" spans="1:12" x14ac:dyDescent="0.25">
      <c r="A27" t="s">
        <v>21</v>
      </c>
      <c r="B27">
        <v>200</v>
      </c>
      <c r="C27" t="s">
        <v>22</v>
      </c>
      <c r="D27" t="s">
        <v>284</v>
      </c>
      <c r="E27" t="s">
        <v>285</v>
      </c>
    </row>
    <row r="28" spans="1:12" x14ac:dyDescent="0.25">
      <c r="A28" t="s">
        <v>26</v>
      </c>
      <c r="B28">
        <v>72</v>
      </c>
      <c r="C28" t="s">
        <v>27</v>
      </c>
      <c r="D28" t="s">
        <v>23</v>
      </c>
      <c r="E28" t="s">
        <v>286</v>
      </c>
    </row>
    <row r="29" spans="1:12" x14ac:dyDescent="0.25">
      <c r="A29" t="s">
        <v>30</v>
      </c>
      <c r="B29">
        <v>72</v>
      </c>
      <c r="C29" t="s">
        <v>31</v>
      </c>
      <c r="D29" t="s">
        <v>23</v>
      </c>
      <c r="E29" t="s">
        <v>287</v>
      </c>
    </row>
    <row r="30" spans="1:12" x14ac:dyDescent="0.25">
      <c r="A30" t="s">
        <v>82</v>
      </c>
      <c r="B30">
        <v>120</v>
      </c>
      <c r="C30" t="s">
        <v>83</v>
      </c>
      <c r="D30" t="s">
        <v>84</v>
      </c>
      <c r="E30" t="s">
        <v>288</v>
      </c>
      <c r="F30">
        <v>18.220338983050848</v>
      </c>
      <c r="G30">
        <v>11.12</v>
      </c>
      <c r="H30">
        <v>2.7877118644067793</v>
      </c>
      <c r="I30">
        <v>13.12</v>
      </c>
      <c r="J30">
        <v>14.260999999999999</v>
      </c>
      <c r="K30">
        <v>14.909000000000001</v>
      </c>
      <c r="L30">
        <v>16</v>
      </c>
    </row>
    <row r="31" spans="1:12" x14ac:dyDescent="0.25">
      <c r="A31" t="s">
        <v>46</v>
      </c>
      <c r="B31">
        <v>75</v>
      </c>
      <c r="C31" t="s">
        <v>47</v>
      </c>
      <c r="D31" t="s">
        <v>48</v>
      </c>
      <c r="E31" t="s">
        <v>289</v>
      </c>
      <c r="F31">
        <v>102</v>
      </c>
      <c r="G31">
        <v>83.64</v>
      </c>
      <c r="H31">
        <v>15.055199999999999</v>
      </c>
      <c r="I31">
        <v>98.6952</v>
      </c>
      <c r="J31">
        <v>107.27739130434782</v>
      </c>
      <c r="K31">
        <v>112.15363636363637</v>
      </c>
      <c r="L31">
        <v>120.36</v>
      </c>
    </row>
    <row r="32" spans="1:12" x14ac:dyDescent="0.25">
      <c r="A32" t="s">
        <v>52</v>
      </c>
      <c r="B32">
        <v>120</v>
      </c>
      <c r="C32" t="s">
        <v>53</v>
      </c>
      <c r="D32" t="s">
        <v>48</v>
      </c>
      <c r="E32" t="s">
        <v>290</v>
      </c>
      <c r="F32">
        <v>90.762711864406796</v>
      </c>
      <c r="G32">
        <v>74.425423728813584</v>
      </c>
      <c r="H32">
        <v>13.396576271186445</v>
      </c>
      <c r="I32">
        <v>87.822000000000031</v>
      </c>
      <c r="J32">
        <v>95.458695652173944</v>
      </c>
      <c r="K32">
        <v>99.797727272727315</v>
      </c>
      <c r="L32">
        <v>107.10000000000001</v>
      </c>
    </row>
    <row r="33" spans="1:12" x14ac:dyDescent="0.25">
      <c r="A33" t="s">
        <v>55</v>
      </c>
      <c r="B33">
        <v>49</v>
      </c>
      <c r="C33" t="s">
        <v>56</v>
      </c>
      <c r="D33" t="s">
        <v>57</v>
      </c>
      <c r="E33" t="s">
        <v>291</v>
      </c>
      <c r="F33">
        <v>109.24372881355933</v>
      </c>
      <c r="G33">
        <v>89.579857627118656</v>
      </c>
      <c r="H33">
        <v>16.124374372881359</v>
      </c>
      <c r="I33">
        <v>109.57146</v>
      </c>
      <c r="J33">
        <v>128.9076</v>
      </c>
      <c r="K33">
        <v>128.9076</v>
      </c>
      <c r="L33">
        <v>128.9076</v>
      </c>
    </row>
    <row r="34" spans="1:12" x14ac:dyDescent="0.25">
      <c r="A34" t="s">
        <v>59</v>
      </c>
      <c r="B34">
        <v>36</v>
      </c>
      <c r="C34" t="s">
        <v>60</v>
      </c>
      <c r="D34" t="s">
        <v>292</v>
      </c>
      <c r="E34">
        <v>0</v>
      </c>
      <c r="F34">
        <v>66.101694915254242</v>
      </c>
      <c r="G34">
        <v>54.203389830508485</v>
      </c>
      <c r="H34">
        <v>9.7566101694915268</v>
      </c>
      <c r="I34">
        <v>63.960000000000008</v>
      </c>
      <c r="J34">
        <v>78</v>
      </c>
      <c r="K34">
        <v>78</v>
      </c>
      <c r="L34">
        <v>78</v>
      </c>
    </row>
    <row r="35" spans="1:12" x14ac:dyDescent="0.25">
      <c r="A35" t="s">
        <v>293</v>
      </c>
      <c r="B35">
        <v>260</v>
      </c>
      <c r="C35" t="s">
        <v>79</v>
      </c>
      <c r="D35" t="s">
        <v>80</v>
      </c>
      <c r="E35" t="s">
        <v>294</v>
      </c>
      <c r="F35">
        <v>50.13559322033899</v>
      </c>
      <c r="G35">
        <v>41.111186440677976</v>
      </c>
      <c r="H35">
        <v>7.4000135593220353</v>
      </c>
      <c r="I35">
        <v>48.511200000000009</v>
      </c>
      <c r="J35">
        <v>52.729565217391311</v>
      </c>
      <c r="K35">
        <v>55.126363636363649</v>
      </c>
      <c r="L35">
        <v>59.160000000000004</v>
      </c>
    </row>
    <row r="36" spans="1:12" x14ac:dyDescent="0.25">
      <c r="A36" t="s">
        <v>295</v>
      </c>
      <c r="B36">
        <v>50</v>
      </c>
      <c r="C36" t="s">
        <v>296</v>
      </c>
      <c r="D36" t="s">
        <v>297</v>
      </c>
      <c r="E36" t="s">
        <v>298</v>
      </c>
      <c r="F36">
        <v>15.127118644067799</v>
      </c>
      <c r="G36">
        <v>12.404237288135596</v>
      </c>
      <c r="H36">
        <v>2.2327627118644071</v>
      </c>
      <c r="I36">
        <v>14.637000000000002</v>
      </c>
      <c r="J36">
        <v>15.909782608695654</v>
      </c>
      <c r="K36">
        <v>16.632954545454549</v>
      </c>
      <c r="L36">
        <v>17.850000000000001</v>
      </c>
    </row>
    <row r="37" spans="1:12" x14ac:dyDescent="0.25">
      <c r="A37" t="s">
        <v>299</v>
      </c>
      <c r="B37">
        <v>50</v>
      </c>
      <c r="C37" t="s">
        <v>296</v>
      </c>
      <c r="D37" t="s">
        <v>297</v>
      </c>
      <c r="E37" t="s">
        <v>300</v>
      </c>
      <c r="F37">
        <v>15.732203389830509</v>
      </c>
      <c r="G37">
        <v>12.900406779661019</v>
      </c>
      <c r="H37">
        <v>2.3220732203389831</v>
      </c>
      <c r="I37">
        <v>15.222480000000001</v>
      </c>
      <c r="J37">
        <v>16.546173913043479</v>
      </c>
      <c r="K37">
        <v>17.298272727272728</v>
      </c>
      <c r="L37">
        <v>18.564</v>
      </c>
    </row>
    <row r="38" spans="1:12" x14ac:dyDescent="0.25">
      <c r="A38" t="s">
        <v>301</v>
      </c>
      <c r="B38">
        <v>48</v>
      </c>
      <c r="C38" t="s">
        <v>302</v>
      </c>
      <c r="D38" t="s">
        <v>68</v>
      </c>
      <c r="E38" t="s">
        <v>303</v>
      </c>
      <c r="F38">
        <v>32.847457627118644</v>
      </c>
      <c r="G38">
        <v>26.934915254237289</v>
      </c>
      <c r="H38">
        <v>4.8482847457627116</v>
      </c>
      <c r="I38">
        <v>31.783200000000001</v>
      </c>
      <c r="J38">
        <v>34.546956521739126</v>
      </c>
      <c r="K38">
        <v>36.117272727272727</v>
      </c>
      <c r="L38">
        <v>38.76</v>
      </c>
    </row>
    <row r="39" spans="1:12" x14ac:dyDescent="0.25">
      <c r="A39" t="s">
        <v>42</v>
      </c>
      <c r="B39">
        <v>160</v>
      </c>
      <c r="C39" t="s">
        <v>43</v>
      </c>
      <c r="D39" t="s">
        <v>44</v>
      </c>
      <c r="E39" t="s">
        <v>304</v>
      </c>
      <c r="F39">
        <v>9.491186440677966</v>
      </c>
      <c r="G39">
        <v>7.7827728813559327</v>
      </c>
      <c r="H39">
        <v>1.4008991186440678</v>
      </c>
      <c r="I39">
        <v>9.1836720000000014</v>
      </c>
      <c r="J39">
        <v>9.9822521739130448</v>
      </c>
      <c r="K39">
        <v>10.435990909090911</v>
      </c>
      <c r="L39">
        <v>11.1996</v>
      </c>
    </row>
    <row r="40" spans="1:12" x14ac:dyDescent="0.25">
      <c r="A40" t="s">
        <v>305</v>
      </c>
      <c r="B40">
        <v>80</v>
      </c>
      <c r="C40" t="s">
        <v>306</v>
      </c>
      <c r="D40" t="s">
        <v>307</v>
      </c>
      <c r="E40" t="s">
        <v>308</v>
      </c>
      <c r="F40">
        <v>26.32118644067797</v>
      </c>
      <c r="G40">
        <v>21.583372881355938</v>
      </c>
      <c r="H40">
        <v>3.8850071186440687</v>
      </c>
      <c r="I40">
        <v>25.468380000000007</v>
      </c>
      <c r="J40">
        <v>27.683021739130442</v>
      </c>
      <c r="K40">
        <v>28.941340909090918</v>
      </c>
      <c r="L40">
        <v>31.059000000000001</v>
      </c>
    </row>
    <row r="41" spans="1:12" x14ac:dyDescent="0.25">
      <c r="A41" t="s">
        <v>70</v>
      </c>
      <c r="B41">
        <v>150</v>
      </c>
      <c r="C41" t="s">
        <v>71</v>
      </c>
      <c r="D41" t="s">
        <v>309</v>
      </c>
      <c r="E41" t="s">
        <v>310</v>
      </c>
      <c r="F41">
        <v>28.8135593220339</v>
      </c>
      <c r="G41">
        <v>24.491525423728813</v>
      </c>
      <c r="H41">
        <v>4.4084745762711863</v>
      </c>
      <c r="I41">
        <v>28.9</v>
      </c>
      <c r="J41">
        <v>31.413043478260867</v>
      </c>
      <c r="K41">
        <v>32.840909090909086</v>
      </c>
      <c r="L41">
        <v>34</v>
      </c>
    </row>
    <row r="42" spans="1:12" x14ac:dyDescent="0.25">
      <c r="A42" t="s">
        <v>119</v>
      </c>
      <c r="B42">
        <v>60</v>
      </c>
      <c r="C42" t="s">
        <v>71</v>
      </c>
      <c r="D42" t="s">
        <v>311</v>
      </c>
      <c r="E42" t="s">
        <v>310</v>
      </c>
      <c r="F42">
        <v>40.677966101694921</v>
      </c>
      <c r="G42">
        <v>34.576271186440678</v>
      </c>
      <c r="H42">
        <v>6.223728813559319</v>
      </c>
      <c r="I42">
        <v>40.799999999999997</v>
      </c>
      <c r="J42">
        <v>44.347826086956516</v>
      </c>
      <c r="K42">
        <v>46.36363636363636</v>
      </c>
      <c r="L42">
        <v>48</v>
      </c>
    </row>
    <row r="43" spans="1:12" x14ac:dyDescent="0.25">
      <c r="A43" t="s">
        <v>122</v>
      </c>
      <c r="B43">
        <v>54</v>
      </c>
      <c r="C43" t="s">
        <v>312</v>
      </c>
      <c r="D43" t="s">
        <v>313</v>
      </c>
      <c r="E43" t="s">
        <v>310</v>
      </c>
      <c r="F43">
        <v>98.305084745762713</v>
      </c>
      <c r="G43">
        <v>83.559322033898312</v>
      </c>
      <c r="H43">
        <v>15.040677966101683</v>
      </c>
      <c r="I43">
        <v>98.6</v>
      </c>
      <c r="J43">
        <v>107.17391304347825</v>
      </c>
      <c r="K43">
        <v>112.04545454545453</v>
      </c>
      <c r="L43">
        <v>116</v>
      </c>
    </row>
    <row r="44" spans="1:12" x14ac:dyDescent="0.25">
      <c r="A44" t="s">
        <v>66</v>
      </c>
      <c r="B44">
        <v>120</v>
      </c>
      <c r="C44" t="s">
        <v>67</v>
      </c>
      <c r="D44" t="s">
        <v>68</v>
      </c>
      <c r="E44" t="s">
        <v>314</v>
      </c>
      <c r="F44">
        <v>50.13559322033899</v>
      </c>
      <c r="G44">
        <v>41.111186440677976</v>
      </c>
      <c r="H44">
        <v>7.4000135593220353</v>
      </c>
      <c r="I44">
        <v>48.511200000000009</v>
      </c>
      <c r="J44">
        <v>52.729565217391311</v>
      </c>
      <c r="K44">
        <v>55.126363636363649</v>
      </c>
      <c r="L44">
        <v>59.160000000000004</v>
      </c>
    </row>
    <row r="45" spans="1:12" x14ac:dyDescent="0.25">
      <c r="A45" t="s">
        <v>74</v>
      </c>
      <c r="B45">
        <v>100</v>
      </c>
      <c r="C45" t="s">
        <v>75</v>
      </c>
      <c r="D45" t="s">
        <v>76</v>
      </c>
      <c r="E45" t="s">
        <v>315</v>
      </c>
      <c r="F45">
        <v>63.56</v>
      </c>
      <c r="G45">
        <v>54.026000000000003</v>
      </c>
      <c r="H45">
        <v>9.7246800000000011</v>
      </c>
      <c r="I45">
        <v>63.750680000000003</v>
      </c>
      <c r="J45">
        <v>69.294217391304343</v>
      </c>
      <c r="K45">
        <v>72.443954545454545</v>
      </c>
      <c r="L45">
        <v>75</v>
      </c>
    </row>
    <row r="46" spans="1:12" x14ac:dyDescent="0.25">
      <c r="A46" t="s">
        <v>63</v>
      </c>
      <c r="B46">
        <v>288</v>
      </c>
      <c r="C46" t="s">
        <v>60</v>
      </c>
      <c r="D46" t="s">
        <v>64</v>
      </c>
      <c r="E46" t="s">
        <v>316</v>
      </c>
      <c r="F46">
        <v>8.6440677966101696</v>
      </c>
      <c r="G46">
        <v>7.0881355932203398</v>
      </c>
      <c r="H46">
        <v>1.2758644067796612</v>
      </c>
      <c r="I46">
        <v>8.3640000000000008</v>
      </c>
      <c r="J46">
        <v>9.0913043478260871</v>
      </c>
      <c r="K46">
        <v>9.5045454545454557</v>
      </c>
      <c r="L46">
        <v>10.199999999999999</v>
      </c>
    </row>
    <row r="47" spans="1:12" x14ac:dyDescent="0.25">
      <c r="A47" t="s">
        <v>317</v>
      </c>
      <c r="B47">
        <v>240</v>
      </c>
      <c r="C47" t="s">
        <v>194</v>
      </c>
      <c r="D47" t="s">
        <v>195</v>
      </c>
      <c r="E47" t="s">
        <v>318</v>
      </c>
      <c r="F47">
        <v>2.2561016949152544</v>
      </c>
      <c r="G47">
        <v>1.8500033898305088</v>
      </c>
      <c r="H47">
        <v>0.33300061016949156</v>
      </c>
      <c r="I47">
        <v>2.1830040000000004</v>
      </c>
      <c r="J47">
        <v>2.372830434782609</v>
      </c>
      <c r="K47">
        <v>2.4806863636363641</v>
      </c>
      <c r="L47">
        <v>2.6621999999999999</v>
      </c>
    </row>
    <row r="48" spans="1:12" x14ac:dyDescent="0.25">
      <c r="A48" t="s">
        <v>319</v>
      </c>
      <c r="B48">
        <v>48</v>
      </c>
      <c r="C48" t="s">
        <v>194</v>
      </c>
      <c r="D48" t="s">
        <v>320</v>
      </c>
      <c r="E48" t="s">
        <v>321</v>
      </c>
      <c r="F48">
        <v>3.6348305084745767</v>
      </c>
      <c r="G48">
        <v>2.980561016949153</v>
      </c>
      <c r="H48">
        <v>0.53650098305084748</v>
      </c>
      <c r="I48">
        <v>3.5170620000000006</v>
      </c>
      <c r="J48">
        <v>3.9627554347826086</v>
      </c>
      <c r="K48">
        <v>3.9965000000000002</v>
      </c>
      <c r="L48">
        <v>4.2891000000000004</v>
      </c>
    </row>
    <row r="49" spans="1:12" x14ac:dyDescent="0.25">
      <c r="A49" t="s">
        <v>193</v>
      </c>
      <c r="B49">
        <v>120</v>
      </c>
      <c r="C49" t="s">
        <v>194</v>
      </c>
      <c r="D49" t="s">
        <v>195</v>
      </c>
      <c r="E49" t="s">
        <v>322</v>
      </c>
      <c r="F49">
        <v>3.258813559322034</v>
      </c>
      <c r="G49">
        <v>2.6722271186440683</v>
      </c>
      <c r="H49">
        <v>0.48100088135593227</v>
      </c>
      <c r="I49">
        <v>3.1532280000000004</v>
      </c>
      <c r="J49">
        <v>3.5528152173913039</v>
      </c>
      <c r="K49">
        <v>3.5832999999999999</v>
      </c>
      <c r="L49">
        <v>3.8454000000000002</v>
      </c>
    </row>
    <row r="50" spans="1:12" x14ac:dyDescent="0.25">
      <c r="A50" t="s">
        <v>323</v>
      </c>
      <c r="B50">
        <v>60</v>
      </c>
      <c r="C50" t="s">
        <v>194</v>
      </c>
      <c r="D50" t="s">
        <v>195</v>
      </c>
      <c r="E50" t="s">
        <v>324</v>
      </c>
      <c r="F50">
        <v>7.8963559322033907</v>
      </c>
      <c r="G50">
        <v>6.4750118644067811</v>
      </c>
      <c r="H50">
        <v>1.1655021355932205</v>
      </c>
      <c r="I50">
        <v>7.6405140000000014</v>
      </c>
      <c r="J50">
        <v>8.6087445652173926</v>
      </c>
      <c r="K50">
        <v>8.6837</v>
      </c>
      <c r="L50">
        <v>9.3177000000000003</v>
      </c>
    </row>
    <row r="51" spans="1:12" x14ac:dyDescent="0.25">
      <c r="A51" t="s">
        <v>325</v>
      </c>
      <c r="B51">
        <v>288</v>
      </c>
      <c r="C51" t="s">
        <v>194</v>
      </c>
      <c r="D51" t="s">
        <v>198</v>
      </c>
      <c r="E51" t="s">
        <v>321</v>
      </c>
      <c r="F51">
        <v>2.3814406779661015</v>
      </c>
      <c r="G51">
        <v>1.9527813559322034</v>
      </c>
      <c r="H51">
        <v>0.35150064406779657</v>
      </c>
      <c r="I51">
        <v>2.3042819999999997</v>
      </c>
      <c r="J51">
        <v>2.59628804347826</v>
      </c>
      <c r="K51">
        <v>2.6183999999999998</v>
      </c>
      <c r="L51">
        <v>2.8100999999999998</v>
      </c>
    </row>
    <row r="52" spans="1:12" x14ac:dyDescent="0.25">
      <c r="A52" t="s">
        <v>197</v>
      </c>
      <c r="B52">
        <v>144</v>
      </c>
      <c r="C52" t="s">
        <v>194</v>
      </c>
      <c r="D52" t="s">
        <v>198</v>
      </c>
      <c r="E52" t="s">
        <v>322</v>
      </c>
      <c r="F52">
        <v>3.6348305084745767</v>
      </c>
      <c r="G52">
        <v>2.980561016949153</v>
      </c>
      <c r="H52">
        <v>0.53650098305084748</v>
      </c>
      <c r="I52">
        <v>3.5170620000000006</v>
      </c>
      <c r="J52">
        <v>3.9627554347826086</v>
      </c>
      <c r="K52">
        <v>3.9965000000000002</v>
      </c>
      <c r="L52">
        <v>4.2891000000000004</v>
      </c>
    </row>
    <row r="53" spans="1:12" x14ac:dyDescent="0.25">
      <c r="A53" t="s">
        <v>199</v>
      </c>
      <c r="B53">
        <v>60</v>
      </c>
      <c r="C53" t="s">
        <v>194</v>
      </c>
      <c r="D53" t="s">
        <v>198</v>
      </c>
      <c r="E53" t="s">
        <v>324</v>
      </c>
      <c r="F53">
        <v>8.2330508474576281</v>
      </c>
      <c r="G53">
        <v>6.7511016949152554</v>
      </c>
      <c r="H53">
        <v>1.2151983050847459</v>
      </c>
      <c r="I53">
        <v>7.9663000000000013</v>
      </c>
      <c r="J53">
        <v>8.9758152173913039</v>
      </c>
      <c r="K53">
        <v>9.0530000000000008</v>
      </c>
      <c r="L53">
        <v>9.7149999999999999</v>
      </c>
    </row>
    <row r="54" spans="1:12" x14ac:dyDescent="0.25">
      <c r="C54" t="s">
        <v>326</v>
      </c>
      <c r="D54" t="s">
        <v>327</v>
      </c>
      <c r="F54">
        <v>25.423728813559322</v>
      </c>
      <c r="G54">
        <v>20.847457627118647</v>
      </c>
      <c r="H54">
        <v>3.7525423728813565</v>
      </c>
      <c r="I54">
        <v>24.6</v>
      </c>
      <c r="J54">
        <v>26.74</v>
      </c>
      <c r="K54">
        <v>27.952999999999999</v>
      </c>
      <c r="L54">
        <v>30</v>
      </c>
    </row>
    <row r="55" spans="1:12" x14ac:dyDescent="0.25">
      <c r="C55" t="s">
        <v>326</v>
      </c>
      <c r="D55" t="s">
        <v>328</v>
      </c>
      <c r="F55">
        <v>42.372881355932208</v>
      </c>
      <c r="G55">
        <v>34.745762711864415</v>
      </c>
      <c r="H55">
        <v>6.2542372881355943</v>
      </c>
      <c r="I55">
        <v>41</v>
      </c>
      <c r="J55">
        <v>44.563000000000002</v>
      </c>
      <c r="K55">
        <v>46.59</v>
      </c>
      <c r="L55">
        <v>50</v>
      </c>
    </row>
    <row r="56" spans="1:12" x14ac:dyDescent="0.25">
      <c r="C56" t="s">
        <v>326</v>
      </c>
      <c r="D56" t="s">
        <v>329</v>
      </c>
      <c r="F56">
        <v>67.79661016949153</v>
      </c>
      <c r="G56">
        <v>55.593220338983059</v>
      </c>
      <c r="H56">
        <v>10.006779661016949</v>
      </c>
      <c r="I56">
        <v>65.599999999999994</v>
      </c>
      <c r="J56">
        <v>71.302000000000007</v>
      </c>
      <c r="K56">
        <v>74.545000000000002</v>
      </c>
      <c r="L56">
        <v>80</v>
      </c>
    </row>
    <row r="57" spans="1:12" x14ac:dyDescent="0.25">
      <c r="A57" t="s">
        <v>144</v>
      </c>
      <c r="B57">
        <v>400</v>
      </c>
      <c r="C57" t="s">
        <v>145</v>
      </c>
      <c r="D57" t="s">
        <v>146</v>
      </c>
      <c r="E57" t="s">
        <v>330</v>
      </c>
      <c r="F57">
        <v>15.254237288135593</v>
      </c>
      <c r="G57">
        <v>12.508474576271187</v>
      </c>
      <c r="H57">
        <v>2.2515254237288134</v>
      </c>
      <c r="I57">
        <v>14.76</v>
      </c>
      <c r="J57">
        <v>16.043478260869563</v>
      </c>
      <c r="K57">
        <v>16.772727272727273</v>
      </c>
      <c r="L57">
        <v>18</v>
      </c>
    </row>
    <row r="58" spans="1:12" x14ac:dyDescent="0.25">
      <c r="A58" t="s">
        <v>168</v>
      </c>
      <c r="B58">
        <v>280</v>
      </c>
      <c r="C58" t="s">
        <v>169</v>
      </c>
      <c r="D58" t="s">
        <v>170</v>
      </c>
      <c r="E58" t="s">
        <v>331</v>
      </c>
      <c r="F58">
        <v>18.598305084745764</v>
      </c>
      <c r="G58">
        <v>15.25</v>
      </c>
      <c r="H58">
        <v>2.7450000000000001</v>
      </c>
      <c r="I58">
        <v>17.995000000000001</v>
      </c>
      <c r="J58">
        <v>19.559999999999999</v>
      </c>
      <c r="K58">
        <v>20.45</v>
      </c>
      <c r="L58">
        <v>21.946000000000002</v>
      </c>
    </row>
    <row r="59" spans="1:12" x14ac:dyDescent="0.25">
      <c r="A59" t="s">
        <v>332</v>
      </c>
      <c r="B59">
        <v>84</v>
      </c>
      <c r="C59" t="s">
        <v>178</v>
      </c>
      <c r="D59" t="s">
        <v>179</v>
      </c>
      <c r="E59" t="s">
        <v>333</v>
      </c>
      <c r="F59">
        <v>9.4516949152542384</v>
      </c>
      <c r="G59">
        <v>7.75</v>
      </c>
      <c r="H59">
        <v>1.395</v>
      </c>
      <c r="I59">
        <v>9.1449999999999996</v>
      </c>
      <c r="J59">
        <v>9.94</v>
      </c>
      <c r="K59">
        <v>10.391999999999999</v>
      </c>
      <c r="L59">
        <v>11.153</v>
      </c>
    </row>
    <row r="60" spans="1:12" x14ac:dyDescent="0.25">
      <c r="A60" t="s">
        <v>177</v>
      </c>
      <c r="B60">
        <v>100</v>
      </c>
      <c r="C60" t="s">
        <v>178</v>
      </c>
      <c r="D60" t="s">
        <v>179</v>
      </c>
      <c r="E60" t="s">
        <v>180</v>
      </c>
      <c r="F60">
        <v>15.559322033898306</v>
      </c>
      <c r="G60">
        <v>12.758644067796611</v>
      </c>
      <c r="H60">
        <v>2.2965559322033902</v>
      </c>
      <c r="I60">
        <v>15.055200000000001</v>
      </c>
      <c r="J60">
        <v>16.364999999999998</v>
      </c>
      <c r="K60">
        <v>17.108000000000001</v>
      </c>
      <c r="L60">
        <v>18.36</v>
      </c>
    </row>
    <row r="61" spans="1:12" x14ac:dyDescent="0.25">
      <c r="A61" t="s">
        <v>163</v>
      </c>
      <c r="B61">
        <v>24</v>
      </c>
      <c r="C61" t="s">
        <v>160</v>
      </c>
      <c r="D61" t="s">
        <v>161</v>
      </c>
      <c r="E61" t="s">
        <v>334</v>
      </c>
      <c r="F61">
        <v>12.401694915254238</v>
      </c>
      <c r="G61">
        <v>10.17</v>
      </c>
      <c r="H61">
        <v>1.8306</v>
      </c>
      <c r="I61">
        <v>12.0006</v>
      </c>
      <c r="J61">
        <v>13.044</v>
      </c>
      <c r="K61">
        <v>13.637</v>
      </c>
      <c r="L61">
        <v>14.634</v>
      </c>
    </row>
    <row r="62" spans="1:12" x14ac:dyDescent="0.25">
      <c r="A62" t="s">
        <v>335</v>
      </c>
      <c r="B62">
        <v>300</v>
      </c>
      <c r="C62" t="s">
        <v>336</v>
      </c>
      <c r="D62" t="s">
        <v>336</v>
      </c>
      <c r="E62" t="s">
        <v>337</v>
      </c>
      <c r="F62">
        <v>18.597457627118644</v>
      </c>
      <c r="G62">
        <v>15.25</v>
      </c>
      <c r="H62">
        <v>2.7450000000000001</v>
      </c>
      <c r="I62">
        <v>17.995000000000001</v>
      </c>
      <c r="J62">
        <v>19.559999999999999</v>
      </c>
      <c r="K62">
        <v>20.448</v>
      </c>
      <c r="L62">
        <v>21.945</v>
      </c>
    </row>
    <row r="63" spans="1:12" x14ac:dyDescent="0.25">
      <c r="A63" t="s">
        <v>165</v>
      </c>
      <c r="B63">
        <v>330</v>
      </c>
      <c r="C63" t="s">
        <v>338</v>
      </c>
      <c r="D63" t="s">
        <v>166</v>
      </c>
      <c r="E63" t="s">
        <v>339</v>
      </c>
      <c r="F63">
        <v>6.6525423728813564</v>
      </c>
      <c r="G63">
        <v>5.4550847457627123</v>
      </c>
      <c r="H63">
        <v>0.9819152542372882</v>
      </c>
      <c r="I63">
        <v>6.4370000000000003</v>
      </c>
      <c r="J63">
        <v>7</v>
      </c>
      <c r="K63">
        <v>7.3150000000000004</v>
      </c>
      <c r="L63">
        <v>7.85</v>
      </c>
    </row>
    <row r="64" spans="1:12" x14ac:dyDescent="0.25">
      <c r="A64" t="s">
        <v>340</v>
      </c>
      <c r="B64">
        <v>330</v>
      </c>
      <c r="C64" t="s">
        <v>338</v>
      </c>
      <c r="D64" t="s">
        <v>166</v>
      </c>
      <c r="E64" t="s">
        <v>341</v>
      </c>
      <c r="F64">
        <v>9.07627118644068</v>
      </c>
      <c r="G64">
        <v>7.4425423728813582</v>
      </c>
      <c r="H64">
        <v>1.3396576271186444</v>
      </c>
      <c r="I64">
        <v>8.7822000000000031</v>
      </c>
      <c r="J64">
        <v>9.5459999999999994</v>
      </c>
      <c r="K64">
        <v>9.98</v>
      </c>
      <c r="L64">
        <v>10.71</v>
      </c>
    </row>
    <row r="65" spans="1:12" x14ac:dyDescent="0.25">
      <c r="A65" t="s">
        <v>342</v>
      </c>
      <c r="B65">
        <v>18</v>
      </c>
      <c r="C65" t="s">
        <v>127</v>
      </c>
      <c r="D65" t="s">
        <v>127</v>
      </c>
      <c r="E65" t="s">
        <v>343</v>
      </c>
      <c r="F65">
        <v>71.194915254237301</v>
      </c>
      <c r="G65">
        <v>58.38</v>
      </c>
      <c r="H65">
        <v>10.5084</v>
      </c>
      <c r="I65">
        <v>68.888400000000004</v>
      </c>
      <c r="J65">
        <v>74.88</v>
      </c>
      <c r="K65">
        <v>78.28</v>
      </c>
      <c r="L65">
        <v>84.01</v>
      </c>
    </row>
    <row r="66" spans="1:12" x14ac:dyDescent="0.25">
      <c r="A66" t="s">
        <v>181</v>
      </c>
      <c r="B66">
        <v>100</v>
      </c>
      <c r="C66" t="s">
        <v>182</v>
      </c>
      <c r="D66" t="s">
        <v>183</v>
      </c>
      <c r="E66" t="s">
        <v>344</v>
      </c>
      <c r="F66">
        <v>13.438983050847458</v>
      </c>
      <c r="G66">
        <v>11.02</v>
      </c>
      <c r="H66">
        <v>1.9835999999999998</v>
      </c>
      <c r="I66">
        <v>13.003599999999999</v>
      </c>
      <c r="J66">
        <v>14.134</v>
      </c>
      <c r="K66">
        <v>14.776</v>
      </c>
      <c r="L66">
        <v>15.858000000000001</v>
      </c>
    </row>
    <row r="67" spans="1:12" x14ac:dyDescent="0.25">
      <c r="A67" t="s">
        <v>184</v>
      </c>
      <c r="B67">
        <v>18</v>
      </c>
      <c r="C67" t="s">
        <v>182</v>
      </c>
      <c r="D67" t="s">
        <v>183</v>
      </c>
      <c r="E67" t="s">
        <v>345</v>
      </c>
      <c r="F67">
        <v>64.66101694915254</v>
      </c>
      <c r="G67">
        <v>53.02</v>
      </c>
      <c r="H67">
        <v>9.5435999999999996</v>
      </c>
      <c r="I67">
        <v>62.563600000000001</v>
      </c>
      <c r="J67">
        <v>68.001999999999995</v>
      </c>
      <c r="K67">
        <v>71.091999999999999</v>
      </c>
      <c r="L67">
        <v>76.3</v>
      </c>
    </row>
    <row r="68" spans="1:12" x14ac:dyDescent="0.25">
      <c r="A68" t="s">
        <v>150</v>
      </c>
      <c r="B68">
        <v>400</v>
      </c>
      <c r="C68" t="s">
        <v>151</v>
      </c>
      <c r="D68" t="s">
        <v>151</v>
      </c>
      <c r="E68" t="s">
        <v>346</v>
      </c>
      <c r="F68">
        <v>2.9661016949152543</v>
      </c>
      <c r="G68">
        <v>2.4322033898305087</v>
      </c>
      <c r="H68">
        <v>0.43779661016949156</v>
      </c>
      <c r="I68">
        <v>2.87</v>
      </c>
      <c r="J68">
        <v>3.12</v>
      </c>
      <c r="K68">
        <v>3.2612000000000001</v>
      </c>
      <c r="L68">
        <v>3.5</v>
      </c>
    </row>
    <row r="69" spans="1:12" x14ac:dyDescent="0.25">
      <c r="A69" t="s">
        <v>172</v>
      </c>
      <c r="B69">
        <v>24</v>
      </c>
      <c r="C69" t="s">
        <v>88</v>
      </c>
      <c r="D69" t="s">
        <v>88</v>
      </c>
      <c r="E69" t="s">
        <v>347</v>
      </c>
      <c r="F69">
        <v>20.66949152542373</v>
      </c>
      <c r="G69">
        <v>16.95</v>
      </c>
      <c r="H69">
        <v>3.0509999999999997</v>
      </c>
      <c r="I69">
        <v>20.000999999999998</v>
      </c>
      <c r="J69">
        <v>21.74</v>
      </c>
      <c r="K69">
        <v>22.728000000000002</v>
      </c>
      <c r="L69">
        <v>24.39</v>
      </c>
    </row>
    <row r="70" spans="1:12" x14ac:dyDescent="0.25">
      <c r="A70" t="s">
        <v>156</v>
      </c>
      <c r="B70">
        <v>120</v>
      </c>
      <c r="C70" t="s">
        <v>157</v>
      </c>
      <c r="D70" t="s">
        <v>113</v>
      </c>
      <c r="E70" t="s">
        <v>348</v>
      </c>
      <c r="F70">
        <v>6.1991525423728824</v>
      </c>
      <c r="G70">
        <v>5.0830000000000002</v>
      </c>
      <c r="H70">
        <v>0.91493999999999998</v>
      </c>
      <c r="I70">
        <v>5.9979399999999998</v>
      </c>
      <c r="J70">
        <v>6.52</v>
      </c>
      <c r="K70">
        <v>6.8159999999999998</v>
      </c>
      <c r="L70">
        <v>7.3150000000000004</v>
      </c>
    </row>
    <row r="71" spans="1:12" x14ac:dyDescent="0.25">
      <c r="A71" t="s">
        <v>140</v>
      </c>
      <c r="B71">
        <v>12</v>
      </c>
      <c r="C71" t="s">
        <v>141</v>
      </c>
      <c r="D71" t="s">
        <v>141</v>
      </c>
      <c r="E71" t="s">
        <v>349</v>
      </c>
      <c r="F71">
        <v>254.23728813559325</v>
      </c>
      <c r="G71">
        <v>208.47457627118646</v>
      </c>
      <c r="H71">
        <v>37.525423728813564</v>
      </c>
      <c r="I71">
        <v>246.00000000000003</v>
      </c>
      <c r="J71">
        <v>267.38</v>
      </c>
      <c r="K71">
        <v>279.52999999999997</v>
      </c>
      <c r="L71">
        <v>300</v>
      </c>
    </row>
    <row r="72" spans="1:12" x14ac:dyDescent="0.25">
      <c r="A72" t="s">
        <v>148</v>
      </c>
      <c r="B72">
        <v>105</v>
      </c>
      <c r="C72" t="s">
        <v>96</v>
      </c>
      <c r="D72" t="s">
        <v>96</v>
      </c>
      <c r="E72" t="s">
        <v>350</v>
      </c>
      <c r="F72">
        <v>31.012711864406782</v>
      </c>
      <c r="G72">
        <v>25.43</v>
      </c>
      <c r="H72">
        <v>4.5773999999999999</v>
      </c>
      <c r="I72">
        <v>30.007400000000001</v>
      </c>
      <c r="J72">
        <v>32.615000000000002</v>
      </c>
      <c r="K72">
        <v>34.100999999999999</v>
      </c>
      <c r="L72">
        <v>36.594999999999999</v>
      </c>
    </row>
    <row r="73" spans="1:12" x14ac:dyDescent="0.25">
      <c r="A73" t="s">
        <v>351</v>
      </c>
      <c r="B73">
        <v>200</v>
      </c>
      <c r="C73" t="s">
        <v>352</v>
      </c>
      <c r="D73" t="s">
        <v>352</v>
      </c>
      <c r="E73" t="s">
        <v>353</v>
      </c>
      <c r="F73">
        <v>6.7703389830508476</v>
      </c>
      <c r="G73">
        <v>5.3</v>
      </c>
      <c r="H73">
        <v>1.2508474576271178</v>
      </c>
      <c r="I73">
        <v>6.5508474576271176</v>
      </c>
      <c r="J73">
        <v>7.1205999999999996</v>
      </c>
      <c r="K73">
        <v>7.444</v>
      </c>
      <c r="L73">
        <v>7.9889999999999999</v>
      </c>
    </row>
    <row r="74" spans="1:12" x14ac:dyDescent="0.25">
      <c r="A74" t="s">
        <v>354</v>
      </c>
      <c r="B74">
        <v>320</v>
      </c>
      <c r="C74" t="s">
        <v>355</v>
      </c>
      <c r="D74" t="s">
        <v>355</v>
      </c>
      <c r="E74" t="s">
        <v>356</v>
      </c>
      <c r="F74">
        <v>12.542457627118646</v>
      </c>
      <c r="G74">
        <v>10.284815254237291</v>
      </c>
      <c r="H74">
        <v>1.8512667457627123</v>
      </c>
      <c r="I74">
        <v>12.136082000000004</v>
      </c>
      <c r="J74">
        <v>13.192</v>
      </c>
      <c r="K74">
        <v>13.791</v>
      </c>
      <c r="L74">
        <v>14.8001</v>
      </c>
    </row>
    <row r="75" spans="1:12" x14ac:dyDescent="0.25">
      <c r="A75" t="s">
        <v>153</v>
      </c>
      <c r="B75">
        <v>24</v>
      </c>
      <c r="C75" t="s">
        <v>154</v>
      </c>
      <c r="D75" t="s">
        <v>154</v>
      </c>
      <c r="E75" t="s">
        <v>357</v>
      </c>
      <c r="F75">
        <v>12.515254237288136</v>
      </c>
      <c r="G75">
        <v>10.262508474576272</v>
      </c>
      <c r="H75">
        <v>1.8472515254237289</v>
      </c>
      <c r="I75">
        <v>12.11</v>
      </c>
      <c r="J75">
        <v>13.08</v>
      </c>
      <c r="K75">
        <v>13.762</v>
      </c>
      <c r="L75">
        <v>14.768000000000001</v>
      </c>
    </row>
    <row r="76" spans="1:12" x14ac:dyDescent="0.25">
      <c r="A76" t="s">
        <v>358</v>
      </c>
      <c r="B76">
        <v>200</v>
      </c>
      <c r="C76" t="s">
        <v>359</v>
      </c>
      <c r="D76" t="s">
        <v>359</v>
      </c>
      <c r="E76" t="s">
        <v>360</v>
      </c>
      <c r="F76">
        <v>8.6440677966101696</v>
      </c>
      <c r="G76">
        <v>7.0881355932203398</v>
      </c>
      <c r="H76">
        <v>1.2758644067796612</v>
      </c>
      <c r="I76">
        <v>8.3640000000000008</v>
      </c>
      <c r="J76">
        <v>9.0909999999999993</v>
      </c>
      <c r="K76">
        <v>9.5050000000000008</v>
      </c>
      <c r="L76">
        <v>10.199999999999999</v>
      </c>
    </row>
    <row r="77" spans="1:12" x14ac:dyDescent="0.25">
      <c r="C77" t="s">
        <v>361</v>
      </c>
      <c r="D77" t="s">
        <v>283</v>
      </c>
      <c r="E77" t="s">
        <v>279</v>
      </c>
      <c r="F77">
        <v>184.90677966101697</v>
      </c>
      <c r="G77">
        <v>151.62</v>
      </c>
      <c r="H77">
        <v>27.291599999999999</v>
      </c>
      <c r="I77">
        <v>178.91159999999999</v>
      </c>
      <c r="J77">
        <v>194.47</v>
      </c>
      <c r="K77">
        <v>203.3</v>
      </c>
      <c r="L77">
        <v>218.19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LISTA_PRECIOS_2026</vt:lpstr>
      <vt:lpstr>LISTA_PRECIOS_DIC2025_DICAR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Urday</dc:creator>
  <cp:keywords/>
  <dc:description/>
  <cp:lastModifiedBy>Andres Romero Velasquez</cp:lastModifiedBy>
  <cp:revision/>
  <cp:lastPrinted>2026-09-11T16:44:30Z</cp:lastPrinted>
  <dcterms:created xsi:type="dcterms:W3CDTF">2025-11-24T14:49:04Z</dcterms:created>
  <dcterms:modified xsi:type="dcterms:W3CDTF">2026-10-06T13:16:33Z</dcterms:modified>
  <cp:category/>
  <cp:contentStatus/>
</cp:coreProperties>
</file>